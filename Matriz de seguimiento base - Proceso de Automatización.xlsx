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Proyecto, 4 actividades, 1 Co" sheetId="1" r:id="rId4"/>
    <sheet state="visible" name="Listado  de desplegables" sheetId="2" r:id="rId5"/>
  </sheets>
  <definedNames/>
  <calcPr/>
  <extLst>
    <ext uri="GoogleSheetsCustomDataVersion2">
      <go:sheetsCustomData xmlns:go="http://customooxmlschemas.google.com/" r:id="rId6" roundtripDataChecksum="4jerCRB7CjDssMNTUyT1PwCXAW308TQFUOtWZLME7So="/>
    </ext>
  </extLst>
</workbook>
</file>

<file path=xl/sharedStrings.xml><?xml version="1.0" encoding="utf-8"?>
<sst xmlns="http://schemas.openxmlformats.org/spreadsheetml/2006/main" count="740" uniqueCount="577">
  <si>
    <t>Nombre Docente</t>
  </si>
  <si>
    <t>Paola Andrea Camacho Vanegas</t>
  </si>
  <si>
    <r>
      <rPr>
        <rFont val="Arial"/>
        <b/>
        <color theme="1"/>
        <sz val="11.0"/>
      </rPr>
      <t xml:space="preserve"> Indicador 
</t>
    </r>
    <r>
      <rPr>
        <rFont val="Arial"/>
        <b val="0"/>
        <color theme="1"/>
        <sz val="11.0"/>
      </rPr>
      <t>- 1 proyecto  20 horas certificado - 5 sesiones  (10 horas de trabajo con los participantes y 10 horas autogestionadas)
- 4 Actividades
- 1 Convenio nuevo</t>
    </r>
  </si>
  <si>
    <t>% avance agosto</t>
  </si>
  <si>
    <t>Programa Académico</t>
  </si>
  <si>
    <t>Especialización en paz y desarrollo territorial</t>
  </si>
  <si>
    <t>% avance septiembre</t>
  </si>
  <si>
    <t>Regional</t>
  </si>
  <si>
    <t>Bogotá D.C. - Virtual</t>
  </si>
  <si>
    <t>% avance octubre</t>
  </si>
  <si>
    <t>Link Drive docente</t>
  </si>
  <si>
    <t>https://drive.google.com/drive/folders/1nrYh_1BP7Fm1ZCtMXABVQzEZrndcgl8Y?usp=drive_link</t>
  </si>
  <si>
    <t>% avance noviembre</t>
  </si>
  <si>
    <t>Horas de P.S.</t>
  </si>
  <si>
    <t>24 horas</t>
  </si>
  <si>
    <t>% avance semestre</t>
  </si>
  <si>
    <t>CRONOGRAMA DE ENTREGABLES - DOCENTES DE  PROYECCIÓN SOCIAL 2025C</t>
  </si>
  <si>
    <t>Categoría</t>
  </si>
  <si>
    <t xml:space="preserve">N° </t>
  </si>
  <si>
    <t>% Avance Semanal</t>
  </si>
  <si>
    <t>% Avance Semestral Acumulado</t>
  </si>
  <si>
    <t>Entregable</t>
  </si>
  <si>
    <t>Descripción</t>
  </si>
  <si>
    <t>Fecha programada de entrega</t>
  </si>
  <si>
    <t>Tiempo en horas</t>
  </si>
  <si>
    <t>Fecha real de entrega</t>
  </si>
  <si>
    <t>% de Avance  mensual del docente</t>
  </si>
  <si>
    <t>Agosto
Capacitación, planeación y relacionamiento con actores externos</t>
  </si>
  <si>
    <t>Agosto - Semana 1</t>
  </si>
  <si>
    <r>
      <rPr>
        <rFont val="Arial"/>
        <color theme="1"/>
        <sz val="11.0"/>
      </rPr>
      <t xml:space="preserve">Participar en la </t>
    </r>
    <r>
      <rPr>
        <rFont val="Arial"/>
        <b/>
        <color theme="1"/>
        <sz val="11.0"/>
      </rPr>
      <t>Socialización de Lineamientos de Proyección Social</t>
    </r>
  </si>
  <si>
    <t>Responder la evaluación de entendimiento respecto a la Socialización de Lineamientos de Proyección Social
Link evaluación: https://forms.gle/f3QRKygfrKtrQiFG9</t>
  </si>
  <si>
    <r>
      <rPr>
        <rFont val="Arial"/>
        <color theme="1"/>
        <sz val="11.0"/>
      </rPr>
      <t xml:space="preserve">Diligenciar formulario de </t>
    </r>
    <r>
      <rPr>
        <rFont val="Arial"/>
        <b/>
        <color theme="1"/>
        <sz val="11.0"/>
      </rPr>
      <t xml:space="preserve">Compromiso docente </t>
    </r>
  </si>
  <si>
    <t>Responder formulario de compromiso docente: 
Link: https://forms.gle/BabTQRx7QQzSLsiS8</t>
  </si>
  <si>
    <r>
      <rPr>
        <rFont val="Arial"/>
        <color theme="1"/>
        <sz val="11.0"/>
      </rPr>
      <t>Lectura y evaluación de la</t>
    </r>
    <r>
      <rPr>
        <rFont val="Arial"/>
        <b/>
        <color theme="1"/>
        <sz val="11.0"/>
      </rPr>
      <t xml:space="preserve"> Política de Proyección Social</t>
    </r>
  </si>
  <si>
    <r>
      <rPr>
        <rFont val="Arial"/>
        <color rgb="FF1155CC"/>
        <sz val="11.0"/>
        <u/>
      </rPr>
      <t xml:space="preserve">Responder la evaluación de entendimiento respecto a la Política de Proyección Social 
</t>
    </r>
    <r>
      <rPr>
        <rFont val="Arial"/>
        <color rgb="FF1155CC"/>
        <sz val="11.0"/>
        <u/>
      </rPr>
      <t>https://docs.google.com/forms/d/e/1FAIpQLSc6e_6eG7v8fbVHTCHNQNMIszLzClXqvRhVv4vb_HB43maeNw/viewform?usp=header</t>
    </r>
  </si>
  <si>
    <r>
      <rPr>
        <rFont val="Arial"/>
        <color theme="1"/>
        <sz val="11.0"/>
      </rPr>
      <t xml:space="preserve">Participar en la Capacitación en formatos y entregables de proyección social
</t>
    </r>
    <r>
      <rPr>
        <rFont val="Arial"/>
        <b/>
        <color theme="1"/>
        <sz val="11.0"/>
      </rPr>
      <t xml:space="preserve">Capacitación 1: 
</t>
    </r>
    <r>
      <rPr>
        <rFont val="Arial"/>
        <color theme="1"/>
        <sz val="11.0"/>
      </rPr>
      <t xml:space="preserve"> Socialización Indicadores, Política de Proyección Social Mapeo de actores, Acta de reunión, Plan de trabajo, Practica social.</t>
    </r>
  </si>
  <si>
    <r>
      <rPr>
        <rFont val="Arial"/>
        <sz val="11.0"/>
      </rPr>
      <t xml:space="preserve">Responder la evaluación de entendimiento respecto a los formatos y entregables de proyección social 
</t>
    </r>
    <r>
      <rPr>
        <rFont val="Arial"/>
        <color rgb="FF1155CC"/>
        <sz val="11.0"/>
        <u/>
      </rPr>
      <t>https://forms.gle/iU9TB3rw6X6Lfoki9</t>
    </r>
  </si>
  <si>
    <t>Identificación y relacionamiento de actores externos para firma de nuevo convenio</t>
  </si>
  <si>
    <t>Esta tarea no implica realizar cargue en la carpeta de gestión documental docente</t>
  </si>
  <si>
    <t>Agosto - Semana 2</t>
  </si>
  <si>
    <t xml:space="preserve">Repaso de la socialización de lineamientos de proyección social realizada el martes, 5 de agosto y el miércoles, 6 de agosto. </t>
  </si>
  <si>
    <r>
      <rPr>
        <rFont val="Arial"/>
        <color rgb="FF1155CC"/>
        <sz val="11.0"/>
        <u/>
      </rPr>
      <t>https://drive.google.com/file/d/1AYwBC4LVnLRW9uoUN6c1D8yC-EdWZMTv/view</t>
    </r>
    <r>
      <rPr>
        <rFont val="Arial"/>
        <sz val="11.0"/>
      </rPr>
      <t xml:space="preserve">
</t>
    </r>
    <r>
      <rPr>
        <rFont val="Arial"/>
        <color rgb="FF1155CC"/>
        <sz val="11.0"/>
        <u/>
      </rPr>
      <t>https://drive.google.com/file/d/1vYBfopY7XVUe-DNZ6yryh5F3ut6iRKtD/view</t>
    </r>
  </si>
  <si>
    <t>Agosto - Semana 3</t>
  </si>
  <si>
    <r>
      <rPr>
        <rFont val="Arial"/>
        <color theme="1"/>
        <sz val="11.0"/>
      </rPr>
      <t xml:space="preserve">Participar en la Capacitación en formatos y entregables de proyección social - Proyecto
</t>
    </r>
    <r>
      <rPr>
        <rFont val="Arial"/>
        <b/>
        <color theme="1"/>
        <sz val="11.0"/>
      </rPr>
      <t xml:space="preserve">Capacitación 2 Proyectos - Parte 1: 
</t>
    </r>
    <r>
      <rPr>
        <rFont val="Arial"/>
        <color theme="1"/>
        <sz val="11.0"/>
      </rPr>
      <t>Plan de trabajo, Solicitud de pieza, formulario de inscripción, práctica social</t>
    </r>
  </si>
  <si>
    <r>
      <rPr>
        <rFont val="Arial"/>
        <sz val="11.0"/>
      </rPr>
      <t xml:space="preserve">Responder la evaluación de entendimiento respecto a los formatos y entregables de proyección social
</t>
    </r>
    <r>
      <rPr>
        <rFont val="Arial"/>
        <color rgb="FF1155CC"/>
        <sz val="11.0"/>
        <u/>
      </rPr>
      <t>https://forms.gle/aFiJXnBs47yLNzRD8</t>
    </r>
  </si>
  <si>
    <t>Agosto - Semana 4</t>
  </si>
  <si>
    <t>Relacionamiento con actores externos para firma de nuevo convenio</t>
  </si>
  <si>
    <r>
      <rPr>
        <rFont val="Arial"/>
        <color theme="1"/>
        <sz val="11.0"/>
      </rPr>
      <t xml:space="preserve">Diligenciar el </t>
    </r>
    <r>
      <rPr>
        <rFont val="Arial"/>
        <b/>
        <color theme="1"/>
        <sz val="11.0"/>
      </rPr>
      <t>Mapeo de Actores</t>
    </r>
    <r>
      <rPr>
        <rFont val="Arial"/>
        <color theme="1"/>
        <sz val="11.0"/>
      </rPr>
      <t xml:space="preserve"> indicando el actor con el cual firmarás convenio</t>
    </r>
  </si>
  <si>
    <r>
      <rPr>
        <rFont val="Arial"/>
        <color rgb="FF1155CC"/>
        <sz val="11.0"/>
        <u/>
      </rPr>
      <t>Diligenciar link formulario Mapeo de Actores</t>
    </r>
    <r>
      <rPr>
        <rFont val="Arial"/>
        <color rgb="FF1155CC"/>
        <sz val="11.0"/>
        <u/>
      </rPr>
      <t xml:space="preserve"> </t>
    </r>
    <r>
      <rPr>
        <rFont val="Arial"/>
        <color rgb="FF1155CC"/>
        <sz val="11.0"/>
        <u/>
      </rPr>
      <t>https://forms.gle/4ijbS1U2GMBy87ZD9</t>
    </r>
  </si>
  <si>
    <r>
      <rPr>
        <rFont val="Arial"/>
        <color theme="1"/>
        <sz val="11.0"/>
      </rPr>
      <t xml:space="preserve">Realizar la reunión con el actor externo de acuerdo con el formato de </t>
    </r>
    <r>
      <rPr>
        <rFont val="Arial"/>
        <b/>
        <color theme="1"/>
        <sz val="11.0"/>
      </rPr>
      <t>Acta de reunión con actores externos</t>
    </r>
  </si>
  <si>
    <r>
      <rPr>
        <rFont val="Arial"/>
        <color rgb="FF467886"/>
        <sz val="11.0"/>
        <u/>
      </rPr>
      <t xml:space="preserve">Cargar PDF del Acta de reunión firmada por actor externo y docente de proyección social, y fotografías (pantallazos o link de la grabación de la reunión)
Link ejemplo ubicado en la carpeta Documentos Generales - Acta de reunión proyectos: 
</t>
    </r>
    <r>
      <rPr>
        <rFont val="Arial"/>
        <color rgb="FF467886"/>
        <sz val="11.0"/>
        <u/>
      </rPr>
      <t xml:space="preserve">
</t>
    </r>
    <r>
      <rPr>
        <rFont val="Arial"/>
        <color rgb="FF1155CC"/>
        <sz val="11.0"/>
        <u/>
      </rPr>
      <t>https://drive.google.com/drive/u/2/folders/1O-Hq47gfuRRsag-5gBITaVaXG_FC0KLq</t>
    </r>
  </si>
  <si>
    <t>Septiembre
Gestión con los aliados y formulación de proyectos</t>
  </si>
  <si>
    <t>Septiembre - Semana 5</t>
  </si>
  <si>
    <r>
      <rPr>
        <rFont val="Arial"/>
        <color theme="1"/>
        <sz val="11.0"/>
      </rPr>
      <t xml:space="preserve">  Diligenciar el link </t>
    </r>
    <r>
      <rPr>
        <rFont val="Arial"/>
        <b/>
        <color theme="1"/>
        <sz val="11.0"/>
      </rPr>
      <t>Solicitud de pieza comunicacional</t>
    </r>
    <r>
      <rPr>
        <rFont val="Arial"/>
        <color theme="1"/>
        <sz val="11.0"/>
      </rPr>
      <t xml:space="preserve">, el cual a su vez, debe incluir el link del </t>
    </r>
    <r>
      <rPr>
        <rFont val="Arial"/>
        <b/>
        <color theme="1"/>
        <sz val="11.0"/>
      </rPr>
      <t xml:space="preserve">formulario de inscripción </t>
    </r>
    <r>
      <rPr>
        <rFont val="Arial"/>
        <color theme="1"/>
        <sz val="11.0"/>
      </rPr>
      <t xml:space="preserve">en editable para los usuarios maria_lopezr@cun.edu.co, proyeccion_social@cun.edu.co y liliana_villamizar@cun.edu.co
</t>
    </r>
    <r>
      <rPr>
        <rFont val="Arial"/>
        <b/>
        <color theme="1"/>
        <sz val="11.0"/>
      </rPr>
      <t>Proyecto 1</t>
    </r>
  </si>
  <si>
    <r>
      <rPr>
        <rFont val="Arial"/>
        <color rgb="FF1155CC"/>
        <sz val="11.0"/>
        <u/>
      </rPr>
      <t xml:space="preserve">Diligenciar formulario de solicitud de pieza comunicacional, el cual contiene a su vez, el link del formulario de inscripción en editable. 
</t>
    </r>
    <r>
      <rPr>
        <rFont val="Arial"/>
        <color rgb="FF1155CC"/>
        <sz val="11.0"/>
        <u/>
      </rPr>
      <t>https://drive.google.com/drive/folders/1OnWzrqYUTmG42cijuh3A5NfiTxR73x5B?usp=drive_link</t>
    </r>
  </si>
  <si>
    <r>
      <rPr>
        <rFont val="Arial"/>
        <color theme="1"/>
        <sz val="11.0"/>
      </rPr>
      <t xml:space="preserve">Participar en la Capacitación en formatos y entregables de proyección social - Proyecto
</t>
    </r>
    <r>
      <rPr>
        <rFont val="Arial"/>
        <b/>
        <color theme="1"/>
        <sz val="11.0"/>
      </rPr>
      <t xml:space="preserve">Capacitación 3 Proyectos - Parte 1: 
</t>
    </r>
    <r>
      <rPr>
        <rFont val="Arial"/>
        <color theme="1"/>
        <sz val="11.0"/>
      </rPr>
      <t>Correo de bienvenida, link de conexión, listados de asistencia, formato de presentación, ingreso a sede CUN</t>
    </r>
  </si>
  <si>
    <r>
      <rPr>
        <rFont val="Arial"/>
        <color rgb="FF1155CC"/>
        <sz val="11.0"/>
        <u/>
      </rPr>
      <t xml:space="preserve">Responder la evaluación de entendimiento respecto a los formatos y entregables de proyección social
</t>
    </r>
    <r>
      <rPr>
        <rFont val="Arial"/>
        <color rgb="FF1155CC"/>
        <sz val="11.0"/>
        <u/>
      </rPr>
      <t>https://forms.gle/w1dGG9gwaEXheEWX6</t>
    </r>
  </si>
  <si>
    <t>Anexos firmados Convenio nuevo</t>
  </si>
  <si>
    <t>Cargar Cédula del representante legal, RUT de la entidad y Cámara de comercio (o Acta de posesión o documento que otorgue las facultades al representante legal para firmar convenios) del actor con el cual se firmará convenio</t>
  </si>
  <si>
    <r>
      <rPr>
        <rFont val="Arial"/>
        <b/>
        <color theme="1"/>
        <sz val="11.0"/>
      </rPr>
      <t>Difusión de la pieza comunicacional</t>
    </r>
    <r>
      <rPr>
        <rFont val="Arial"/>
        <color theme="1"/>
        <sz val="11.0"/>
      </rPr>
      <t xml:space="preserve"> - Correo enviado al actor externo y comunidad cunista -</t>
    </r>
    <r>
      <rPr>
        <rFont val="Arial"/>
        <b/>
        <color theme="1"/>
        <sz val="11.0"/>
      </rPr>
      <t xml:space="preserve"> Proyecto 1</t>
    </r>
  </si>
  <si>
    <t>Cargar pieza comunicacional y enviar correo con la pieza comunicacional al actor externo para difusión</t>
  </si>
  <si>
    <t>Septiembre - Semana 6</t>
  </si>
  <si>
    <r>
      <rPr>
        <rFont val="Arial"/>
        <color theme="1"/>
        <sz val="11.0"/>
      </rPr>
      <t xml:space="preserve">  Diligenciar el link </t>
    </r>
    <r>
      <rPr>
        <rFont val="Arial"/>
        <b/>
        <color theme="1"/>
        <sz val="11.0"/>
      </rPr>
      <t>Solicitud de pieza comunicacional</t>
    </r>
    <r>
      <rPr>
        <rFont val="Arial"/>
        <color theme="1"/>
        <sz val="11.0"/>
      </rPr>
      <t xml:space="preserve">, el cual a su vez, debe incluir el link del </t>
    </r>
    <r>
      <rPr>
        <rFont val="Arial"/>
        <b/>
        <color theme="1"/>
        <sz val="11.0"/>
      </rPr>
      <t xml:space="preserve">formulario de inscripción </t>
    </r>
    <r>
      <rPr>
        <rFont val="Arial"/>
        <color theme="1"/>
        <sz val="11.0"/>
      </rPr>
      <t xml:space="preserve">en editable para los usuarios xxxxx@cun.edu.co y liliana_villamizar@cun.edu.co
</t>
    </r>
    <r>
      <rPr>
        <rFont val="Arial"/>
        <b/>
        <color theme="1"/>
        <sz val="11.0"/>
      </rPr>
      <t>Actividad #1</t>
    </r>
  </si>
  <si>
    <r>
      <rPr>
        <rFont val="Arial"/>
        <color rgb="FF1155CC"/>
        <sz val="11.0"/>
        <u/>
      </rPr>
      <t xml:space="preserve">Diligenciar formulario de solicitud de pieza comunicacional, el cual contiene a su vez, el link del formulario de inscripción en editable. 
</t>
    </r>
    <r>
      <rPr>
        <rFont val="Arial"/>
        <color rgb="FF1155CC"/>
        <sz val="11.0"/>
        <u/>
      </rPr>
      <t>https://drive.google.com/drive/folders/14qK-4liLDB9wPHSggaSLwWFHQAJjvOAC?usp=drive_link</t>
    </r>
  </si>
  <si>
    <r>
      <rPr>
        <rFont val="Arial"/>
        <color theme="1"/>
        <sz val="11.0"/>
      </rPr>
      <t>Elaboración de contenidos - Sesión 1 y 2-</t>
    </r>
    <r>
      <rPr>
        <rFont val="Arial"/>
        <b/>
        <color theme="1"/>
        <sz val="11.0"/>
      </rPr>
      <t xml:space="preserve"> Proyecto 1</t>
    </r>
  </si>
  <si>
    <r>
      <rPr>
        <rFont val="Arial"/>
        <sz val="11.0"/>
      </rPr>
      <t xml:space="preserve">Cargar presentación en PPT de la sesión 1  y  2 del proyecto. Usar formato de Proyección Social 
</t>
    </r>
    <r>
      <rPr>
        <rFont val="Arial"/>
        <color rgb="FF1155CC"/>
        <sz val="11.0"/>
        <u/>
      </rPr>
      <t>https://drive.google.com/drive/u/2/folders/10mZf0XSY6egfcaL3GVlAZutC3Yxmlya0</t>
    </r>
  </si>
  <si>
    <r>
      <rPr>
        <rFont val="Arial"/>
        <color theme="1"/>
        <sz val="11.0"/>
      </rPr>
      <t>Elaboración de contenidos - Sesión 3 y 4-</t>
    </r>
    <r>
      <rPr>
        <rFont val="Arial"/>
        <b/>
        <color theme="1"/>
        <sz val="11.0"/>
      </rPr>
      <t xml:space="preserve"> Proyecto 1</t>
    </r>
  </si>
  <si>
    <r>
      <rPr>
        <rFont val="Arial"/>
        <color rgb="FF1155CC"/>
        <sz val="11.0"/>
        <u/>
      </rPr>
      <t xml:space="preserve">Cargar presentación en PPT de la sesión 3  y 4 del proyecto. Usar formato de Proyección Social 
</t>
    </r>
    <r>
      <rPr>
        <rFont val="Arial"/>
        <color rgb="FF1155CC"/>
        <sz val="11.0"/>
        <u/>
      </rPr>
      <t>https://drive.google.com/drive/u/2/folders/10mZf0XSY6egfcaL3GVlAZutC3Yxmlya0</t>
    </r>
  </si>
  <si>
    <t>Septiembre - Semana 7</t>
  </si>
  <si>
    <r>
      <rPr>
        <rFont val="Arial"/>
        <color theme="1"/>
        <sz val="11.0"/>
      </rPr>
      <t xml:space="preserve">Inicio del proyecto, implementación primera sesión. El proyecto debe dar inicio a más tardar 
</t>
    </r>
    <r>
      <rPr>
        <rFont val="Arial"/>
        <b/>
        <color theme="1"/>
        <sz val="11.0"/>
      </rPr>
      <t xml:space="preserve">18 de septiembre
Proyecto </t>
    </r>
  </si>
  <si>
    <r>
      <rPr>
        <rFont val="Arial"/>
        <color theme="1"/>
        <sz val="11.0"/>
      </rPr>
      <t>Elaboración de contenidos - Sesión 5 -</t>
    </r>
    <r>
      <rPr>
        <rFont val="Arial"/>
        <b/>
        <color theme="1"/>
        <sz val="11.0"/>
      </rPr>
      <t xml:space="preserve"> Proyecto 1</t>
    </r>
  </si>
  <si>
    <r>
      <rPr>
        <rFont val="Arial"/>
        <color rgb="FF1155CC"/>
        <sz val="11.0"/>
        <u/>
      </rPr>
      <t xml:space="preserve">Cargar presentación en PPT de la sesión 5 del proyecto. Usar formato de Proyección Social 
</t>
    </r>
    <r>
      <rPr>
        <rFont val="Arial"/>
        <color rgb="FF1155CC"/>
        <sz val="11.0"/>
        <u/>
      </rPr>
      <t>https://drive.google.com/drive/u/2/folders/10mZf0XSY6egfcaL3GVlAZutC3Yxmlya0</t>
    </r>
  </si>
  <si>
    <r>
      <rPr>
        <rFont val="Arial"/>
        <color theme="1"/>
        <sz val="11.0"/>
      </rPr>
      <t xml:space="preserve">Correo invitación sesión 2 - </t>
    </r>
    <r>
      <rPr>
        <rFont val="Arial"/>
        <b/>
        <color theme="1"/>
        <sz val="11.0"/>
      </rPr>
      <t>Proyecto 1</t>
    </r>
  </si>
  <si>
    <r>
      <rPr>
        <rFont val="Arial"/>
        <color theme="1"/>
        <sz val="11.0"/>
      </rPr>
      <t xml:space="preserve">  Diligenciar el link </t>
    </r>
    <r>
      <rPr>
        <rFont val="Arial"/>
        <b/>
        <color theme="1"/>
        <sz val="11.0"/>
      </rPr>
      <t>Solicitud de pieza comunicacional</t>
    </r>
    <r>
      <rPr>
        <rFont val="Arial"/>
        <color theme="1"/>
        <sz val="11.0"/>
      </rPr>
      <t xml:space="preserve">, el cual a su vez, debe incluir el link del </t>
    </r>
    <r>
      <rPr>
        <rFont val="Arial"/>
        <b/>
        <color theme="1"/>
        <sz val="11.0"/>
      </rPr>
      <t xml:space="preserve">formulario de inscripción </t>
    </r>
    <r>
      <rPr>
        <rFont val="Arial"/>
        <color theme="1"/>
        <sz val="11.0"/>
      </rPr>
      <t xml:space="preserve">en editable para los usuarios xxxxx@cun.edu.co y liliana_villamizar@cun.edu.co
</t>
    </r>
    <r>
      <rPr>
        <rFont val="Arial"/>
        <b/>
        <color theme="1"/>
        <sz val="11.0"/>
      </rPr>
      <t>Actividad #2</t>
    </r>
  </si>
  <si>
    <r>
      <rPr>
        <rFont val="Arial"/>
        <color rgb="FF1155CC"/>
        <sz val="11.0"/>
        <u/>
      </rPr>
      <t xml:space="preserve">Diligenciar formulario de solicitud de pieza comunicacional, el cual contiene a su vez, el link del formulario de inscripción en editable. 
</t>
    </r>
    <r>
      <rPr>
        <rFont val="Arial"/>
        <color rgb="FF1155CC"/>
        <sz val="11.0"/>
        <u/>
      </rPr>
      <t>https://drive.google.com/drive/folders/14qK-4liLDB9wPHSggaSLwWFHQAJjvOAC?usp=drive_link</t>
    </r>
  </si>
  <si>
    <t>Septiembre - Semana 8</t>
  </si>
  <si>
    <r>
      <rPr>
        <rFont val="Arial"/>
        <color theme="1"/>
        <sz val="11.0"/>
      </rPr>
      <t xml:space="preserve">Elaborar la </t>
    </r>
    <r>
      <rPr>
        <rFont val="Arial"/>
        <b/>
        <color theme="1"/>
        <sz val="11.0"/>
      </rPr>
      <t>Medición de entendimiento</t>
    </r>
    <r>
      <rPr>
        <rFont val="Arial"/>
        <color theme="1"/>
        <sz val="11.0"/>
      </rPr>
      <t xml:space="preserve"> del proyecto para revisión y aprobación
</t>
    </r>
    <r>
      <rPr>
        <rFont val="Arial"/>
        <b/>
        <color theme="1"/>
        <sz val="11.0"/>
      </rPr>
      <t>Proyecto</t>
    </r>
  </si>
  <si>
    <r>
      <rPr>
        <rFont val="Arial"/>
        <b/>
        <color rgb="FF000000"/>
        <sz val="11.0"/>
        <u/>
      </rPr>
      <t>Proyecto virtual</t>
    </r>
    <r>
      <rPr>
        <rFont val="Arial"/>
        <color rgb="FF000000"/>
        <sz val="11.0"/>
        <u/>
      </rPr>
      <t xml:space="preserve">: Cargar link del formulario de medición de entendimiento
</t>
    </r>
    <r>
      <rPr>
        <rFont val="Arial"/>
        <b/>
        <color rgb="FF000000"/>
        <sz val="11.0"/>
        <u/>
      </rPr>
      <t xml:space="preserve">Proyecto presencial: </t>
    </r>
    <r>
      <rPr>
        <rFont val="Arial"/>
        <color rgb="FF000000"/>
        <sz val="11.0"/>
        <u/>
      </rPr>
      <t xml:space="preserve">Cargar formato en Word de medición de entendimiento
Link ejemplo ubicado en la carpeta Documentos Generales - Medición de entendimiento: 
</t>
    </r>
    <r>
      <rPr>
        <rFont val="Arial"/>
        <color rgb="FF1155CC"/>
        <sz val="11.0"/>
        <u/>
      </rPr>
      <t>https://drive.google.com/drive/u/2/folders/1EuSbDn-kvjdex-Vsho4hV2hTxg_eKV-C</t>
    </r>
  </si>
  <si>
    <r>
      <rPr>
        <rFont val="Arial"/>
        <color theme="1"/>
        <sz val="11.0"/>
      </rPr>
      <t xml:space="preserve">Participar en la capacitación en formatos y entregables de proyección social 
</t>
    </r>
    <r>
      <rPr>
        <rFont val="Arial"/>
        <b/>
        <color theme="1"/>
        <sz val="11.0"/>
      </rPr>
      <t xml:space="preserve">Capacitación 3 Proyectos - Parte 2: </t>
    </r>
    <r>
      <rPr>
        <rFont val="Arial"/>
        <color theme="1"/>
        <sz val="11.0"/>
      </rPr>
      <t xml:space="preserve"> 
Nota Concepto, Presupuesto, Registro fotográfico, encuesta de satisfacción, Medición de entendimiento videos testimoniales, carta de reconocimiento.</t>
    </r>
  </si>
  <si>
    <r>
      <rPr>
        <rFont val="Arial"/>
        <color rgb="FF1155CC"/>
        <sz val="11.0"/>
        <u/>
      </rPr>
      <t>Responder la evaluación de entendimiento respecto a los formatos y entregables de proyección socia</t>
    </r>
    <r>
      <rPr>
        <rFont val="Arial"/>
        <color rgb="FF000000"/>
        <sz val="11.0"/>
        <u/>
      </rPr>
      <t xml:space="preserve">l
</t>
    </r>
    <r>
      <rPr>
        <rFont val="Arial"/>
        <color rgb="FF1155CC"/>
        <sz val="11.0"/>
        <u/>
      </rPr>
      <t>https://docs.google.com/forms/d/e/1FAIpQLSetXuxlMADRSseWAK-f_cW-FfAiHslH3yL4SbLfJcMgMBLsTQ/viewform</t>
    </r>
  </si>
  <si>
    <r>
      <rPr>
        <rFont val="Arial"/>
        <color theme="1"/>
        <sz val="11.0"/>
      </rPr>
      <t xml:space="preserve">Elaborar la </t>
    </r>
    <r>
      <rPr>
        <rFont val="Arial"/>
        <b/>
        <color theme="1"/>
        <sz val="11.0"/>
      </rPr>
      <t>Nota concepto preliminar y presupuesto del Proyecto</t>
    </r>
    <r>
      <rPr>
        <rFont val="Arial"/>
        <color theme="1"/>
        <sz val="11.0"/>
      </rPr>
      <t xml:space="preserve"> para revisión y aprobación, con total de beneficiarios, participantes en la primera sesión o población proyectada en el plan de trabajo 
</t>
    </r>
    <r>
      <rPr>
        <rFont val="Arial"/>
        <b/>
        <color theme="1"/>
        <sz val="11.0"/>
      </rPr>
      <t xml:space="preserve">Proyecto </t>
    </r>
  </si>
  <si>
    <r>
      <rPr>
        <rFont val="Arial"/>
        <color rgb="FF000000"/>
        <sz val="11.0"/>
        <u/>
      </rPr>
      <t>Cargar en</t>
    </r>
    <r>
      <rPr>
        <rFont val="Arial"/>
        <b/>
        <color rgb="FF000000"/>
        <sz val="11.0"/>
        <u/>
      </rPr>
      <t xml:space="preserve"> formato Word </t>
    </r>
    <r>
      <rPr>
        <rFont val="Arial"/>
        <color rgb="FF000000"/>
        <sz val="11.0"/>
        <u/>
      </rPr>
      <t>la Nota concepto y el presupuesto en</t>
    </r>
    <r>
      <rPr>
        <rFont val="Arial"/>
        <b/>
        <color rgb="FF000000"/>
        <sz val="11.0"/>
        <u/>
      </rPr>
      <t xml:space="preserve"> formato Excel </t>
    </r>
    <r>
      <rPr>
        <rFont val="Arial"/>
        <color rgb="FF000000"/>
        <sz val="11.0"/>
        <u/>
      </rPr>
      <t xml:space="preserve">para revisión y aprobación
Link ejemplo ubicado en la carpeta Documentos Generales - Nota concepto y presupuesto:
</t>
    </r>
    <r>
      <rPr>
        <rFont val="Arial"/>
        <color rgb="FF1155CC"/>
        <sz val="11.0"/>
        <u/>
      </rPr>
      <t>https://drive.google.com/drive/u/2/folders/12lOrF5fZ7k3rT8TQui5iTTGRQi4iK30U</t>
    </r>
  </si>
  <si>
    <r>
      <rPr>
        <rFont val="Arial"/>
        <color theme="1"/>
        <sz val="11.0"/>
      </rPr>
      <t>Implementación segunda sesión</t>
    </r>
    <r>
      <rPr>
        <rFont val="Arial"/>
        <b/>
        <color theme="1"/>
        <sz val="11.0"/>
      </rPr>
      <t xml:space="preserve">
Proyecto 1</t>
    </r>
  </si>
  <si>
    <r>
      <rPr>
        <rFont val="Arial"/>
        <color theme="1"/>
        <sz val="11.0"/>
      </rPr>
      <t xml:space="preserve">Elaboración de contenidos - </t>
    </r>
    <r>
      <rPr>
        <rFont val="Arial"/>
        <b/>
        <color theme="1"/>
        <sz val="11.0"/>
      </rPr>
      <t xml:space="preserve"> Actividad 1</t>
    </r>
  </si>
  <si>
    <r>
      <rPr>
        <rFont val="Arial"/>
        <color rgb="FF1155CC"/>
        <sz val="11.0"/>
        <u/>
      </rPr>
      <t xml:space="preserve">Cargar presentación en PPT de la presentación de la </t>
    </r>
    <r>
      <rPr>
        <rFont val="Arial"/>
        <b/>
        <color rgb="FF1155CC"/>
        <sz val="11.0"/>
        <u/>
      </rPr>
      <t>actividad #1</t>
    </r>
    <r>
      <rPr>
        <rFont val="Arial"/>
        <color rgb="FF1155CC"/>
        <sz val="11.0"/>
        <u/>
      </rPr>
      <t xml:space="preserve">
 Usar formato de Proyección Social 
</t>
    </r>
    <r>
      <rPr>
        <rFont val="Arial"/>
        <color rgb="FF1155CC"/>
        <sz val="11.0"/>
        <u/>
      </rPr>
      <t>https://drive.google.com/drive/folders/1A2F6TLR7UJBlcaDHXikaP1hbAXgSdetv?usp=drive_link</t>
    </r>
  </si>
  <si>
    <r>
      <rPr>
        <rFont val="Arial"/>
        <b/>
        <color theme="1"/>
        <sz val="11.0"/>
      </rPr>
      <t>Difusión de la pieza comunicacional -</t>
    </r>
    <r>
      <rPr>
        <rFont val="Arial"/>
        <color theme="1"/>
        <sz val="11.0"/>
      </rPr>
      <t xml:space="preserve"> Correo enviado al actor externo - </t>
    </r>
    <r>
      <rPr>
        <rFont val="Arial"/>
        <b/>
        <color theme="1"/>
        <sz val="11.0"/>
      </rPr>
      <t>Actividad #1</t>
    </r>
  </si>
  <si>
    <t>Octubre</t>
  </si>
  <si>
    <t>Octubre - Semana 9</t>
  </si>
  <si>
    <r>
      <rPr>
        <rFont val="Arial"/>
        <color theme="1"/>
        <sz val="11.0"/>
      </rPr>
      <t xml:space="preserve">Correo invitación sesión 3 - </t>
    </r>
    <r>
      <rPr>
        <rFont val="Arial"/>
        <b/>
        <color theme="1"/>
        <sz val="11.0"/>
      </rPr>
      <t>Proyecto 1</t>
    </r>
  </si>
  <si>
    <t xml:space="preserve">Enviar a los participantes inscritos la grabación y/o presentación de la sesión junto con la invitación a la siguiente sesión </t>
  </si>
  <si>
    <r>
      <rPr>
        <rFont val="Arial"/>
        <color theme="1"/>
        <sz val="11.0"/>
      </rPr>
      <t xml:space="preserve">Participar en la Capacitación en formatos y entregables de proyección social - Actividad
</t>
    </r>
    <r>
      <rPr>
        <rFont val="Arial"/>
        <b/>
        <color theme="1"/>
        <sz val="11.0"/>
      </rPr>
      <t xml:space="preserve">Capacitación Actividades: </t>
    </r>
    <r>
      <rPr>
        <rFont val="Arial"/>
        <color theme="1"/>
        <sz val="11.0"/>
      </rPr>
      <t xml:space="preserve">
Acta de actividad, Presupuesto, Correo de Bienvenida, Formatos de asistencia y Registro fotográfico</t>
    </r>
  </si>
  <si>
    <t>Responder la evaluación de entendimiento respecto a los formatos y entregables de proyección social</t>
  </si>
  <si>
    <r>
      <rPr>
        <rFont val="Arial"/>
        <color theme="1"/>
        <sz val="11.0"/>
      </rPr>
      <t xml:space="preserve">Elaboración de contenidos - </t>
    </r>
    <r>
      <rPr>
        <rFont val="Arial"/>
        <b/>
        <color theme="1"/>
        <sz val="11.0"/>
      </rPr>
      <t xml:space="preserve"> Actividad 2</t>
    </r>
  </si>
  <si>
    <r>
      <rPr>
        <rFont val="Arial"/>
        <color rgb="FF1155CC"/>
        <sz val="11.0"/>
        <u/>
      </rPr>
      <t xml:space="preserve">Cargar presentación en PPT de la presentación de la </t>
    </r>
    <r>
      <rPr>
        <rFont val="Arial"/>
        <b/>
        <color rgb="FF1155CC"/>
        <sz val="11.0"/>
        <u/>
      </rPr>
      <t>actividad #1</t>
    </r>
    <r>
      <rPr>
        <rFont val="Arial"/>
        <color rgb="FF1155CC"/>
        <sz val="11.0"/>
        <u/>
      </rPr>
      <t xml:space="preserve">
 Usar formato de Proyección Social 
</t>
    </r>
    <r>
      <rPr>
        <rFont val="Arial"/>
        <color rgb="FF1155CC"/>
        <sz val="11.0"/>
        <u/>
      </rPr>
      <t>https://drive.google.com/drive/folders/1A2F6TLR7UJBlcaDHXikaP1hbAXgSdetv?usp=drive_link</t>
    </r>
  </si>
  <si>
    <r>
      <rPr>
        <rFont val="Arial"/>
        <color theme="1"/>
        <sz val="11.0"/>
      </rPr>
      <t>Implementación tercera sesión</t>
    </r>
    <r>
      <rPr>
        <rFont val="Arial"/>
        <b/>
        <color theme="1"/>
        <sz val="11.0"/>
      </rPr>
      <t xml:space="preserve">
Proyecto 1</t>
    </r>
  </si>
  <si>
    <t>Octubre - Semana 10</t>
  </si>
  <si>
    <r>
      <rPr>
        <rFont val="Arial"/>
        <color theme="1"/>
        <sz val="11.0"/>
      </rPr>
      <t xml:space="preserve">Implementación - </t>
    </r>
    <r>
      <rPr>
        <rFont val="Arial"/>
        <b/>
        <color theme="1"/>
        <sz val="11.0"/>
      </rPr>
      <t>Actividad #1</t>
    </r>
  </si>
  <si>
    <r>
      <rPr>
        <rFont val="Arial"/>
        <color theme="1"/>
        <sz val="11.0"/>
      </rPr>
      <t xml:space="preserve">Generar registro fotográfico y/o grabación de la actividad
</t>
    </r>
    <r>
      <rPr>
        <rFont val="Arial"/>
        <b/>
        <color theme="1"/>
        <sz val="11.0"/>
      </rPr>
      <t>Actividad #1</t>
    </r>
  </si>
  <si>
    <r>
      <rPr>
        <rFont val="Arial"/>
        <b/>
        <color rgb="FF000000"/>
        <sz val="11.0"/>
      </rPr>
      <t>Actividad presencial</t>
    </r>
    <r>
      <rPr>
        <rFont val="Arial"/>
        <color rgb="FF000000"/>
        <sz val="11.0"/>
      </rPr>
      <t xml:space="preserve">: Cargar fotografías del desarrollo de la actividad
</t>
    </r>
    <r>
      <rPr>
        <rFont val="Arial"/>
        <b/>
        <color rgb="FF000000"/>
        <sz val="11.0"/>
      </rPr>
      <t>Actividad virtual:</t>
    </r>
    <r>
      <rPr>
        <rFont val="Arial"/>
        <color rgb="FF000000"/>
        <sz val="11.0"/>
      </rPr>
      <t xml:space="preserve"> Cargar la grabación y pantallazos del desarrollo de la actividad</t>
    </r>
  </si>
  <si>
    <r>
      <rPr>
        <rFont val="Arial"/>
        <color theme="1"/>
        <sz val="11.0"/>
      </rPr>
      <t xml:space="preserve">Correo invitación sesión 4 - </t>
    </r>
    <r>
      <rPr>
        <rFont val="Arial"/>
        <b/>
        <color theme="1"/>
        <sz val="11.0"/>
      </rPr>
      <t>Proyecto 1</t>
    </r>
  </si>
  <si>
    <r>
      <rPr>
        <rFont val="Arial"/>
        <b/>
        <color theme="1"/>
        <sz val="11.0"/>
      </rPr>
      <t>Solicitar  un vídeo de testimonio</t>
    </r>
    <r>
      <rPr>
        <rFont val="Arial"/>
        <color theme="1"/>
        <sz val="11.0"/>
      </rPr>
      <t xml:space="preserve">: De un </t>
    </r>
    <r>
      <rPr>
        <rFont val="Arial"/>
        <b/>
        <color theme="1"/>
        <sz val="11.0"/>
      </rPr>
      <t>BENEFICIARIO</t>
    </r>
    <r>
      <rPr>
        <rFont val="Arial"/>
        <color theme="1"/>
        <sz val="11.0"/>
      </rPr>
      <t xml:space="preserve"> del </t>
    </r>
    <r>
      <rPr>
        <rFont val="Arial"/>
        <b/>
        <color theme="1"/>
        <sz val="11.0"/>
      </rPr>
      <t>Proyecto 1</t>
    </r>
  </si>
  <si>
    <r>
      <rPr>
        <rFont val="Arial"/>
        <color rgb="FF000000"/>
        <sz val="11.0"/>
        <u/>
      </rPr>
      <t xml:space="preserve">Cargar vídeos testimoniales: Un beneficiario del proyecto
</t>
    </r>
    <r>
      <rPr>
        <rFont val="Arial"/>
        <b/>
        <color rgb="FF000000"/>
        <sz val="11.0"/>
        <u/>
      </rPr>
      <t>Nota:</t>
    </r>
    <r>
      <rPr>
        <rFont val="Arial"/>
        <color rgb="FF000000"/>
        <sz val="11.0"/>
        <u/>
      </rPr>
      <t xml:space="preserve"> Grabar cada vídeo con el celular ubicado de forma horizontal. Duración máxima del vídeo 1:30 minutos
Ejemplo ubicado en documentos generales: https://drive.google.com/drive/u/1/folders/1YJKs6nlr1vlISodCUA1m3dx2MpJjtEOQ </t>
    </r>
  </si>
  <si>
    <t>Solicitar formato de consentimiento informado firmado para uso de imagen del video testimonial De un beneficiario del Proyecto 1</t>
  </si>
  <si>
    <t xml:space="preserve">Cargar el formato de consentimiento informado debidamente firmado por el participante que esta </t>
  </si>
  <si>
    <r>
      <rPr>
        <rFont val="Arial"/>
        <color theme="1"/>
        <sz val="11.0"/>
      </rPr>
      <t>Implementación cuarta sesión</t>
    </r>
    <r>
      <rPr>
        <rFont val="Arial"/>
        <b/>
        <color theme="1"/>
        <sz val="11.0"/>
      </rPr>
      <t xml:space="preserve">
Proyecto 1</t>
    </r>
  </si>
  <si>
    <t xml:space="preserve">Octubre - Semana 11 </t>
  </si>
  <si>
    <r>
      <rPr>
        <rFont val="Arial"/>
        <color theme="1"/>
        <sz val="11.0"/>
      </rPr>
      <t xml:space="preserve">Correo invitación sesión 5 - </t>
    </r>
    <r>
      <rPr>
        <rFont val="Arial"/>
        <b/>
        <color theme="1"/>
        <sz val="11.0"/>
      </rPr>
      <t>Proyecto 1</t>
    </r>
  </si>
  <si>
    <r>
      <rPr>
        <rFont val="Arial"/>
        <color theme="1"/>
        <sz val="11.0"/>
      </rPr>
      <t>Implementación quinta sesión</t>
    </r>
    <r>
      <rPr>
        <rFont val="Arial"/>
        <b/>
        <color theme="1"/>
        <sz val="11.0"/>
      </rPr>
      <t xml:space="preserve">
Proyecto 1</t>
    </r>
  </si>
  <si>
    <r>
      <rPr>
        <rFont val="Arial"/>
        <color theme="1"/>
        <sz val="11.0"/>
      </rPr>
      <t xml:space="preserve">Aplicar la </t>
    </r>
    <r>
      <rPr>
        <rFont val="Arial"/>
        <b/>
        <color theme="1"/>
        <sz val="11.0"/>
      </rPr>
      <t xml:space="preserve">Evaluación de satisfacción </t>
    </r>
    <r>
      <rPr>
        <rFont val="Arial"/>
        <color theme="1"/>
        <sz val="11.0"/>
      </rPr>
      <t xml:space="preserve">y cargar en drive el consolidado 
</t>
    </r>
    <r>
      <rPr>
        <rFont val="Arial"/>
        <b/>
        <color theme="1"/>
        <sz val="11.0"/>
      </rPr>
      <t>Proyecto 1</t>
    </r>
  </si>
  <si>
    <r>
      <rPr>
        <rFont val="Arial"/>
        <b/>
        <color rgb="FF467886"/>
        <sz val="11.0"/>
        <u/>
      </rPr>
      <t>Proyecto presencial</t>
    </r>
    <r>
      <rPr>
        <rFont val="Arial"/>
        <color rgb="FF467886"/>
        <sz val="11.0"/>
        <u/>
      </rPr>
      <t xml:space="preserve">: Cargar PDF de respuestas escaneadas de la Evaluación de satisfacción aplicada
</t>
    </r>
    <r>
      <rPr>
        <rFont val="Arial"/>
        <b/>
        <color rgb="FF467886"/>
        <sz val="11.0"/>
        <u/>
      </rPr>
      <t xml:space="preserve">Proyecto virtual: </t>
    </r>
    <r>
      <rPr>
        <rFont val="Arial"/>
        <color rgb="FF467886"/>
        <sz val="11.0"/>
        <u/>
      </rPr>
      <t xml:space="preserve">Cargar Excel formulario de respuestas de la Evaluación de satisfacción aplicada
Link formatos ejemplo ubicado en la carpeta Documentos Generales - Evaluación de satisfacción: </t>
    </r>
    <r>
      <rPr>
        <rFont val="Arial"/>
        <color rgb="FF1155CC"/>
        <sz val="11.0"/>
        <u/>
      </rPr>
      <t>https://drive.google.com/drive/folders/1Td1fGiV2CCUfaTX8ixniPdiRrFpj5k6D?usp=drive_link</t>
    </r>
  </si>
  <si>
    <r>
      <rPr>
        <rFont val="Arial"/>
        <color theme="1"/>
        <sz val="11.0"/>
      </rPr>
      <t xml:space="preserve">Aplicar la </t>
    </r>
    <r>
      <rPr>
        <rFont val="Arial"/>
        <b/>
        <color theme="1"/>
        <sz val="11.0"/>
      </rPr>
      <t xml:space="preserve">Medición Apropiación de Conocimiento </t>
    </r>
    <r>
      <rPr>
        <rFont val="Arial"/>
        <color theme="1"/>
        <sz val="11.0"/>
      </rPr>
      <t xml:space="preserve">y cargar en drive el consolidado
</t>
    </r>
    <r>
      <rPr>
        <rFont val="Arial"/>
        <b/>
        <color theme="1"/>
        <sz val="11.0"/>
      </rPr>
      <t>Proyecto 1</t>
    </r>
  </si>
  <si>
    <r>
      <rPr>
        <rFont val="Arial"/>
        <color theme="1"/>
        <sz val="11.0"/>
      </rPr>
      <t xml:space="preserve">Medición de entendimiento aplicada
</t>
    </r>
    <r>
      <rPr>
        <rFont val="Arial"/>
        <b/>
        <color theme="1"/>
        <sz val="11.0"/>
      </rPr>
      <t>Proyecto presencial:</t>
    </r>
    <r>
      <rPr>
        <rFont val="Arial"/>
        <color theme="1"/>
        <sz val="11.0"/>
      </rPr>
      <t xml:space="preserve"> Cargar PDF de respuestas escaneadas y calificadas
</t>
    </r>
    <r>
      <rPr>
        <rFont val="Arial"/>
        <b/>
        <color theme="1"/>
        <sz val="11.0"/>
      </rPr>
      <t>Proyecto virtual:</t>
    </r>
    <r>
      <rPr>
        <rFont val="Arial"/>
        <color theme="1"/>
        <sz val="11.0"/>
      </rPr>
      <t xml:space="preserve"> Cargar Excel formulario de respuestas de la medición de entendimiento aplicada</t>
    </r>
  </si>
  <si>
    <r>
      <rPr>
        <rFont val="Arial"/>
        <color theme="1"/>
        <sz val="11.0"/>
      </rPr>
      <t xml:space="preserve">Aplicar y cargar los </t>
    </r>
    <r>
      <rPr>
        <rFont val="Arial"/>
        <b/>
        <color theme="1"/>
        <sz val="11.0"/>
      </rPr>
      <t>formatos de listados de asistencia</t>
    </r>
    <r>
      <rPr>
        <rFont val="Arial"/>
        <color theme="1"/>
        <sz val="11.0"/>
      </rPr>
      <t xml:space="preserve"> 
</t>
    </r>
    <r>
      <rPr>
        <rFont val="Arial"/>
        <b/>
        <color theme="1"/>
        <sz val="11.0"/>
      </rPr>
      <t>Proyecto 1</t>
    </r>
  </si>
  <si>
    <r>
      <rPr>
        <rFont val="Arial"/>
        <b/>
        <color theme="1"/>
        <sz val="11.0"/>
      </rPr>
      <t xml:space="preserve">Proyecto presencial: </t>
    </r>
    <r>
      <rPr>
        <rFont val="Arial"/>
        <color theme="1"/>
        <sz val="11.0"/>
      </rPr>
      <t xml:space="preserve">Cargar PDF de los listados de asistencia escaneados (diligenciados por parte de los participantes)
</t>
    </r>
    <r>
      <rPr>
        <rFont val="Arial"/>
        <b/>
        <color theme="1"/>
        <sz val="11.0"/>
      </rPr>
      <t>Proyecto virtual</t>
    </r>
    <r>
      <rPr>
        <rFont val="Arial"/>
        <color theme="1"/>
        <sz val="11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1.0"/>
      </rPr>
      <t>Solo está permitido hacer uso de los formatos establecidos por el área</t>
    </r>
    <r>
      <rPr>
        <rFont val="Arial"/>
        <color theme="1"/>
        <sz val="11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</si>
  <si>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r>
      <rPr>
        <rFont val="Arial"/>
        <color theme="1"/>
        <sz val="11.0"/>
      </rPr>
      <t xml:space="preserve">Generar </t>
    </r>
    <r>
      <rPr>
        <rFont val="Arial"/>
        <b/>
        <color theme="1"/>
        <sz val="11.0"/>
      </rPr>
      <t>registro fotográfico y de vídeo</t>
    </r>
    <r>
      <rPr>
        <rFont val="Arial"/>
        <color theme="1"/>
        <sz val="11.0"/>
      </rPr>
      <t xml:space="preserve"> de las sesiones del proyecto
</t>
    </r>
    <r>
      <rPr>
        <rFont val="Arial"/>
        <b/>
        <color theme="1"/>
        <sz val="11.0"/>
      </rPr>
      <t>Proyecto 1</t>
    </r>
  </si>
  <si>
    <t>Proyecto presencial: Cargar fotografías por cada sesión del proyecto
Proyecto virtual: Cargar pantallazos y la grabación de cada sesión del proyecto</t>
  </si>
  <si>
    <t>Octubre - Semana 12</t>
  </si>
  <si>
    <r>
      <rPr>
        <rFont val="Arial"/>
        <b/>
        <color theme="1"/>
        <sz val="11.0"/>
      </rPr>
      <t>Difusión de la pieza comunicacional -</t>
    </r>
    <r>
      <rPr>
        <rFont val="Arial"/>
        <color theme="1"/>
        <sz val="11.0"/>
      </rPr>
      <t xml:space="preserve"> Correo enviado al actor externo - </t>
    </r>
    <r>
      <rPr>
        <rFont val="Arial"/>
        <b/>
        <color theme="1"/>
        <sz val="11.0"/>
      </rPr>
      <t>Actividad #2</t>
    </r>
  </si>
  <si>
    <r>
      <rPr>
        <rFont val="Arial"/>
        <color theme="1"/>
        <sz val="11.0"/>
      </rPr>
      <t xml:space="preserve">Elaboración de contenidos - </t>
    </r>
    <r>
      <rPr>
        <rFont val="Arial"/>
        <b/>
        <color theme="1"/>
        <sz val="11.0"/>
      </rPr>
      <t xml:space="preserve"> Actividad 3</t>
    </r>
  </si>
  <si>
    <r>
      <rPr>
        <rFont val="Arial"/>
        <color rgb="FF1155CC"/>
        <sz val="11.0"/>
        <u/>
      </rPr>
      <t xml:space="preserve">Cargar presentación en PPT de la presentación de la </t>
    </r>
    <r>
      <rPr>
        <rFont val="Arial"/>
        <b/>
        <color rgb="FF1155CC"/>
        <sz val="11.0"/>
        <u/>
      </rPr>
      <t>actividad #1</t>
    </r>
    <r>
      <rPr>
        <rFont val="Arial"/>
        <color rgb="FF1155CC"/>
        <sz val="11.0"/>
        <u/>
      </rPr>
      <t xml:space="preserve">
 Usar formato de Proyección Social 
</t>
    </r>
    <r>
      <rPr>
        <rFont val="Arial"/>
        <color rgb="FF1155CC"/>
        <sz val="11.0"/>
        <u/>
      </rPr>
      <t>https://drive.google.com/drive/folders/1A2F6TLR7UJBlcaDHXikaP1hbAXgSdetv?usp=drive_link</t>
    </r>
  </si>
  <si>
    <r>
      <rPr>
        <rFont val="Arial"/>
        <color theme="1"/>
        <sz val="11.0"/>
      </rPr>
      <t xml:space="preserve">  Diligenciar el link </t>
    </r>
    <r>
      <rPr>
        <rFont val="Arial"/>
        <b/>
        <color theme="1"/>
        <sz val="11.0"/>
      </rPr>
      <t>Solicitud de pieza comunicacional</t>
    </r>
    <r>
      <rPr>
        <rFont val="Arial"/>
        <color theme="1"/>
        <sz val="11.0"/>
      </rPr>
      <t xml:space="preserve">, el cual a su vez, debe incluir el link del </t>
    </r>
    <r>
      <rPr>
        <rFont val="Arial"/>
        <b/>
        <color theme="1"/>
        <sz val="11.0"/>
      </rPr>
      <t xml:space="preserve">formulario de inscripción </t>
    </r>
    <r>
      <rPr>
        <rFont val="Arial"/>
        <color theme="1"/>
        <sz val="11.0"/>
      </rPr>
      <t xml:space="preserve">en editable para los usuarios maria_lopezr@cun.edu.co, proyeccion_social@cun.edu.co y liliana_villamizar@cun.edu.co
</t>
    </r>
    <r>
      <rPr>
        <rFont val="Arial"/>
        <b/>
        <color theme="1"/>
        <sz val="11.0"/>
      </rPr>
      <t>Actividad #3</t>
    </r>
  </si>
  <si>
    <r>
      <rPr>
        <rFont val="Arial"/>
        <color rgb="FF000000"/>
        <sz val="11.0"/>
        <u/>
      </rPr>
      <t xml:space="preserve">Diligenciar formulario de solicitud de pieza comunicacional, el cual contiene a su vez, el link del formulario de inscripción en editable. 
</t>
    </r>
    <r>
      <rPr>
        <rFont val="Arial"/>
        <sz val="11.0"/>
      </rPr>
      <t xml:space="preserve">- Link de formulario: </t>
    </r>
    <r>
      <rPr>
        <rFont val="Arial"/>
        <color rgb="FF1155CC"/>
        <sz val="11.0"/>
        <u/>
      </rPr>
      <t>https://forms.gle/fWBhN7Ttu7YBM1UL8</t>
    </r>
    <r>
      <rPr>
        <rFont val="Arial"/>
        <sz val="11.0"/>
      </rPr>
      <t xml:space="preserve"> 
- Link carpeta: </t>
    </r>
    <r>
      <rPr>
        <rFont val="Arial"/>
        <color rgb="FF1155CC"/>
        <sz val="11.0"/>
        <u/>
      </rPr>
      <t>https://drive.google.com/drive/u/1/folders/1iEOBvCzYkdliL2H4d7TrZAkcIH2dLl8B</t>
    </r>
  </si>
  <si>
    <r>
      <rPr>
        <rFont val="Arial"/>
        <color theme="1"/>
        <sz val="11.0"/>
      </rPr>
      <t xml:space="preserve">Implementación - </t>
    </r>
    <r>
      <rPr>
        <rFont val="Arial"/>
        <b/>
        <color theme="1"/>
        <sz val="11.0"/>
      </rPr>
      <t>Actividad #2</t>
    </r>
  </si>
  <si>
    <r>
      <rPr>
        <rFont val="Arial"/>
        <color theme="1"/>
        <sz val="11.0"/>
      </rPr>
      <t xml:space="preserve">Generar registro fotográfico y/o grabación de la actividad
</t>
    </r>
    <r>
      <rPr>
        <rFont val="Arial"/>
        <b/>
        <color theme="1"/>
        <sz val="11.0"/>
      </rPr>
      <t>Actividad #2</t>
    </r>
  </si>
  <si>
    <r>
      <rPr>
        <rFont val="Arial"/>
        <b/>
        <color rgb="FF000000"/>
        <sz val="11.0"/>
      </rPr>
      <t>Actividad presencial</t>
    </r>
    <r>
      <rPr>
        <rFont val="Arial"/>
        <color rgb="FF000000"/>
        <sz val="11.0"/>
      </rPr>
      <t xml:space="preserve">: Cargar fotografías del desarrollo de la actividad
</t>
    </r>
    <r>
      <rPr>
        <rFont val="Arial"/>
        <b/>
        <color rgb="FF000000"/>
        <sz val="11.0"/>
      </rPr>
      <t>Actividad virtual:</t>
    </r>
    <r>
      <rPr>
        <rFont val="Arial"/>
        <color rgb="FF000000"/>
        <sz val="11.0"/>
      </rPr>
      <t xml:space="preserve"> Cargar la grabación y pantallazos del desarrollo de la actividad</t>
    </r>
  </si>
  <si>
    <t>Octubre - Semana 13</t>
  </si>
  <si>
    <r>
      <rPr>
        <rFont val="Arial"/>
        <b/>
        <color theme="1"/>
        <sz val="11.0"/>
      </rPr>
      <t>Minuta de convenio</t>
    </r>
    <r>
      <rPr>
        <rFont val="Arial"/>
        <color theme="1"/>
        <sz val="11.0"/>
      </rPr>
      <t xml:space="preserve"> firmada por parte del actor externo</t>
    </r>
  </si>
  <si>
    <t>Cargar PDF del convenio firmado por el actor externo</t>
  </si>
  <si>
    <r>
      <rPr>
        <rFont val="Arial"/>
        <color theme="1"/>
        <sz val="11.0"/>
      </rPr>
      <t xml:space="preserve">  Diligenciar el link </t>
    </r>
    <r>
      <rPr>
        <rFont val="Arial"/>
        <b/>
        <color theme="1"/>
        <sz val="11.0"/>
      </rPr>
      <t>Solicitud de pieza comunicacional</t>
    </r>
    <r>
      <rPr>
        <rFont val="Arial"/>
        <color theme="1"/>
        <sz val="11.0"/>
      </rPr>
      <t xml:space="preserve">, el cual a su vez, debe incluir el link del </t>
    </r>
    <r>
      <rPr>
        <rFont val="Arial"/>
        <b/>
        <color theme="1"/>
        <sz val="11.0"/>
      </rPr>
      <t xml:space="preserve">formulario de inscripción </t>
    </r>
    <r>
      <rPr>
        <rFont val="Arial"/>
        <color theme="1"/>
        <sz val="11.0"/>
      </rPr>
      <t xml:space="preserve">en editable para los usuarios maria_lopezr@cun.edu.co, proyeccion_social@cun.edu.co y liliana_villamizar@cun.edu.co
</t>
    </r>
    <r>
      <rPr>
        <rFont val="Arial"/>
        <b/>
        <color theme="1"/>
        <sz val="11.0"/>
      </rPr>
      <t>Actividad 4</t>
    </r>
  </si>
  <si>
    <r>
      <rPr>
        <rFont val="Arial"/>
        <color rgb="FF1155CC"/>
        <sz val="11.0"/>
        <u/>
      </rPr>
      <t xml:space="preserve">Diligenciar formulario de solicitud de pieza comunicacional, el cual contiene a su vez, el link del formulario de inscripción en editable. 
</t>
    </r>
    <r>
      <rPr>
        <rFont val="Arial"/>
        <color rgb="FF1155CC"/>
        <sz val="11.0"/>
        <u/>
      </rPr>
      <t>https://drive.google.com/drive/folders/1OnWzrqYUTmG42cijuh3A5NfiTxR73x5B?usp=drive_link</t>
    </r>
  </si>
  <si>
    <t>Solicitar formato de consentimiento informado firmado para uso de imagen del video testimonial</t>
  </si>
  <si>
    <r>
      <rPr>
        <rFont val="Arial"/>
        <b/>
        <color theme="1"/>
        <sz val="11.0"/>
      </rPr>
      <t>Solicitar vídeos de testimonios:</t>
    </r>
    <r>
      <rPr>
        <rFont val="Arial"/>
        <color theme="1"/>
        <sz val="11.0"/>
      </rPr>
      <t xml:space="preserve"> Del aliado</t>
    </r>
  </si>
  <si>
    <r>
      <rPr>
        <rFont val="Arial"/>
        <color rgb="FF000000"/>
        <sz val="11.0"/>
        <u/>
      </rPr>
      <t xml:space="preserve">Cargar vídeos testimoniales: Un aliado del proyecto
</t>
    </r>
    <r>
      <rPr>
        <rFont val="Arial"/>
        <b/>
        <color rgb="FF000000"/>
        <sz val="11.0"/>
        <u/>
      </rPr>
      <t>Nota:</t>
    </r>
    <r>
      <rPr>
        <rFont val="Arial"/>
        <color rgb="FF000000"/>
        <sz val="11.0"/>
        <u/>
      </rPr>
      <t xml:space="preserve"> Grabar cada vídeo con el celular ubicado de forma horizontal. Duración máxima del vídeo 1:30 minutos
Ejemplo ubicado en documentos generales: https://drive.google.com/drive/u/1/folders/1YJKs6nlr1vlISodCUA1m3dx2MpJjtEOQ </t>
    </r>
  </si>
  <si>
    <r>
      <rPr>
        <rFont val="Arial"/>
        <color theme="1"/>
        <sz val="11.0"/>
      </rPr>
      <t xml:space="preserve">Elaboración de contenidos - </t>
    </r>
    <r>
      <rPr>
        <rFont val="Arial"/>
        <b/>
        <color theme="1"/>
        <sz val="11.0"/>
      </rPr>
      <t xml:space="preserve"> Actividad 4</t>
    </r>
  </si>
  <si>
    <r>
      <rPr>
        <rFont val="Arial"/>
        <color rgb="FF1155CC"/>
        <sz val="11.0"/>
        <u/>
      </rPr>
      <t xml:space="preserve">Cargar presentación en PPT de la presentación de la </t>
    </r>
    <r>
      <rPr>
        <rFont val="Arial"/>
        <b/>
        <color rgb="FF1155CC"/>
        <sz val="11.0"/>
        <u/>
      </rPr>
      <t>actividad #1</t>
    </r>
    <r>
      <rPr>
        <rFont val="Arial"/>
        <color rgb="FF1155CC"/>
        <sz val="11.0"/>
        <u/>
      </rPr>
      <t xml:space="preserve">
 Usar formato de Proyección Social 
</t>
    </r>
    <r>
      <rPr>
        <rFont val="Arial"/>
        <color rgb="FF1155CC"/>
        <sz val="11.0"/>
        <u/>
      </rPr>
      <t>https://drive.google.com/drive/folders/1A2F6TLR7UJBlcaDHXikaP1hbAXgSdetv?usp=drive_link</t>
    </r>
  </si>
  <si>
    <t>Noviembre - Semana 14</t>
  </si>
  <si>
    <r>
      <rPr>
        <rFont val="Arial"/>
        <b/>
        <color theme="1"/>
        <sz val="11.0"/>
      </rPr>
      <t>Difusión de la pieza comunicacional</t>
    </r>
    <r>
      <rPr>
        <rFont val="Arial"/>
        <color theme="1"/>
        <sz val="11.0"/>
      </rPr>
      <t xml:space="preserve"> - Correo enviado al actor externo y comunidad cunista -</t>
    </r>
    <r>
      <rPr>
        <rFont val="Arial"/>
        <b/>
        <color theme="1"/>
        <sz val="11.0"/>
      </rPr>
      <t xml:space="preserve"> Actividad 3</t>
    </r>
  </si>
  <si>
    <r>
      <rPr>
        <rFont val="Arial"/>
        <color theme="1"/>
        <sz val="11.0"/>
      </rPr>
      <t xml:space="preserve">Solicitar la </t>
    </r>
    <r>
      <rPr>
        <rFont val="Arial"/>
        <b/>
        <color theme="1"/>
        <sz val="11.0"/>
      </rPr>
      <t>Carta de reconocimiento del proyecto firmada</t>
    </r>
    <r>
      <rPr>
        <rFont val="Arial"/>
        <color theme="1"/>
        <sz val="11.0"/>
      </rPr>
      <t xml:space="preserve"> por parte del Actor externo
</t>
    </r>
    <r>
      <rPr>
        <rFont val="Arial"/>
        <b/>
        <color theme="1"/>
        <sz val="11.0"/>
      </rPr>
      <t>Proyecto y actividades</t>
    </r>
  </si>
  <si>
    <r>
      <rPr>
        <rFont val="Arial"/>
        <color rgb="FF000000"/>
        <sz val="11.0"/>
        <u/>
      </rPr>
      <t xml:space="preserve">Cargar PDF Carta de reconocimiento firmada por parte del actor externo
Link ejemplo ubicado en la carpeta Documentos Generales - Carta de reconocimiento actor externo: </t>
    </r>
    <r>
      <rPr>
        <rFont val="Arial"/>
        <color rgb="FF1155CC"/>
        <sz val="11.0"/>
        <u/>
      </rPr>
      <t>https://drive.google.com/drive/folders/13Rikz2AJtOXIOJzt1sG8MGAUYkHkr3mr?usp=drive_link</t>
    </r>
  </si>
  <si>
    <r>
      <rPr>
        <rFont val="Arial"/>
        <color theme="1"/>
        <sz val="11.0"/>
      </rPr>
      <t xml:space="preserve">Implementación - </t>
    </r>
    <r>
      <rPr>
        <rFont val="Arial"/>
        <b/>
        <color theme="1"/>
        <sz val="11.0"/>
      </rPr>
      <t>Actividad #3</t>
    </r>
  </si>
  <si>
    <r>
      <rPr>
        <rFont val="Arial"/>
        <color theme="1"/>
        <sz val="11.0"/>
      </rPr>
      <t xml:space="preserve">Generar registro fotográfico y/o grabación de la actividad
</t>
    </r>
    <r>
      <rPr>
        <rFont val="Arial"/>
        <b/>
        <color theme="1"/>
        <sz val="11.0"/>
      </rPr>
      <t>Actividad #3</t>
    </r>
  </si>
  <si>
    <r>
      <rPr>
        <rFont val="Arial"/>
        <b/>
        <color rgb="FF000000"/>
        <sz val="11.0"/>
      </rPr>
      <t>Actividad presencial</t>
    </r>
    <r>
      <rPr>
        <rFont val="Arial"/>
        <color rgb="FF000000"/>
        <sz val="11.0"/>
      </rPr>
      <t xml:space="preserve">: Cargar fotografías del desarrollo de la actividad
</t>
    </r>
    <r>
      <rPr>
        <rFont val="Arial"/>
        <b/>
        <color rgb="FF000000"/>
        <sz val="11.0"/>
      </rPr>
      <t>Actividad virtual:</t>
    </r>
    <r>
      <rPr>
        <rFont val="Arial"/>
        <color rgb="FF000000"/>
        <sz val="11.0"/>
      </rPr>
      <t xml:space="preserve"> Cargar la grabación y pantallazos del desarrollo de la actividad</t>
    </r>
  </si>
  <si>
    <r>
      <rPr>
        <rFont val="Arial"/>
        <color theme="1"/>
        <sz val="11.0"/>
      </rPr>
      <t xml:space="preserve">Aplicar y cargar los </t>
    </r>
    <r>
      <rPr>
        <rFont val="Arial"/>
        <b/>
        <color theme="1"/>
        <sz val="11.0"/>
      </rPr>
      <t>formatos de listados de asistencia</t>
    </r>
    <r>
      <rPr>
        <rFont val="Arial"/>
        <color theme="1"/>
        <sz val="11.0"/>
      </rPr>
      <t xml:space="preserve"> 
</t>
    </r>
    <r>
      <rPr>
        <rFont val="Arial"/>
        <b/>
        <color theme="1"/>
        <sz val="11.0"/>
      </rPr>
      <t>Actividad 1</t>
    </r>
  </si>
  <si>
    <r>
      <rPr>
        <rFont val="Arial"/>
        <b/>
        <color theme="1"/>
        <sz val="11.0"/>
      </rPr>
      <t xml:space="preserve">Actividad presencial: </t>
    </r>
    <r>
      <rPr>
        <rFont val="Arial"/>
        <color theme="1"/>
        <sz val="11.0"/>
      </rPr>
      <t xml:space="preserve">Cargar PDF de los listados de asistencia escaneados (diligenciados por parte de los participantes)
</t>
    </r>
    <r>
      <rPr>
        <rFont val="Arial"/>
        <b/>
        <color theme="1"/>
        <sz val="11.0"/>
      </rPr>
      <t>Actividad virtual</t>
    </r>
    <r>
      <rPr>
        <rFont val="Arial"/>
        <color theme="1"/>
        <sz val="11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1.0"/>
      </rPr>
      <t>Solo está permitido hacer uso de los formatos establecidos por el área</t>
    </r>
    <r>
      <rPr>
        <rFont val="Arial"/>
        <color theme="1"/>
        <sz val="11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</si>
  <si>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t>Noviembre - Semana 15</t>
  </si>
  <si>
    <r>
      <rPr>
        <rFont val="Arial"/>
        <color theme="1"/>
        <sz val="11.0"/>
      </rPr>
      <t xml:space="preserve">Entrega de </t>
    </r>
    <r>
      <rPr>
        <rFont val="Arial"/>
        <b/>
        <color theme="1"/>
        <sz val="11.0"/>
      </rPr>
      <t xml:space="preserve">Acta de actividad firmada </t>
    </r>
    <r>
      <rPr>
        <rFont val="Arial"/>
        <color theme="1"/>
        <sz val="11.0"/>
      </rPr>
      <t xml:space="preserve">por actor externo y docente de proyección social,  </t>
    </r>
    <r>
      <rPr>
        <rFont val="Arial"/>
        <b/>
        <color theme="1"/>
        <sz val="11.0"/>
      </rPr>
      <t>y presupuesto en Excel</t>
    </r>
    <r>
      <rPr>
        <rFont val="Arial"/>
        <color theme="1"/>
        <sz val="11.0"/>
      </rPr>
      <t xml:space="preserve">, con total de beneficiarios reportado en la planilla SNIES
</t>
    </r>
    <r>
      <rPr>
        <rFont val="Arial"/>
        <b/>
        <color theme="1"/>
        <sz val="11.0"/>
      </rPr>
      <t>Actividad #1</t>
    </r>
  </si>
  <si>
    <t>Cargar en formato Word del acta de actividad firmada por actor externo y docente de proyección social, y el presupuesto en formato Excel,  
Link ejemplo de acta de actividad y presupuesto ubicado en la carpeta Documentos Generales: 
https://drive.google.com/drive/folders/1vs6E91cl6LcXLw8yY6jQ_Jn1mxzsDxBc?usp=drive_link</t>
  </si>
  <si>
    <r>
      <rPr>
        <rFont val="Arial"/>
        <b/>
        <color theme="1"/>
        <sz val="11.0"/>
      </rPr>
      <t>Difusión de la pieza comunicacional</t>
    </r>
    <r>
      <rPr>
        <rFont val="Arial"/>
        <color theme="1"/>
        <sz val="11.0"/>
      </rPr>
      <t xml:space="preserve"> - Correo enviado al actor externo y comunidad cunista -</t>
    </r>
    <r>
      <rPr>
        <rFont val="Arial"/>
        <b/>
        <color theme="1"/>
        <sz val="11.0"/>
      </rPr>
      <t xml:space="preserve"> Actividad 4</t>
    </r>
  </si>
  <si>
    <r>
      <rPr>
        <rFont val="Arial"/>
        <color theme="1"/>
        <sz val="11.0"/>
      </rPr>
      <t xml:space="preserve">Elaborar y aplicar los </t>
    </r>
    <r>
      <rPr>
        <rFont val="Arial"/>
        <b/>
        <color theme="1"/>
        <sz val="11.0"/>
      </rPr>
      <t>formatos de listados de asistencia</t>
    </r>
    <r>
      <rPr>
        <rFont val="Arial"/>
        <color theme="1"/>
        <sz val="11.0"/>
      </rPr>
      <t xml:space="preserve"> 
Diligenciar la </t>
    </r>
    <r>
      <rPr>
        <rFont val="Arial"/>
        <b/>
        <color theme="1"/>
        <sz val="11.0"/>
      </rPr>
      <t>planilla de certificación SNIES 
Actividad #1</t>
    </r>
  </si>
  <si>
    <r>
      <rPr>
        <rFont val="Arial"/>
        <b/>
        <color rgb="FF1155CC"/>
        <sz val="11.0"/>
        <u/>
      </rPr>
      <t>Actividad presencial:</t>
    </r>
    <r>
      <rPr>
        <rFont val="Arial"/>
        <color rgb="FF1155CC"/>
        <sz val="11.0"/>
        <u/>
      </rPr>
      <t xml:space="preserve"> Cargar PDF del listado de asistencia escaneado (diligenciado por parte de los participantes)
</t>
    </r>
    <r>
      <rPr>
        <rFont val="Arial"/>
        <b/>
        <color rgb="FF1155CC"/>
        <sz val="11.0"/>
        <u/>
      </rPr>
      <t xml:space="preserve">Actividad virtual: </t>
    </r>
    <r>
      <rPr>
        <rFont val="Arial"/>
        <color rgb="FF1155CC"/>
        <sz val="11.0"/>
        <u/>
      </rPr>
      <t xml:space="preserve">Cargar Excel de asistencia de la actividad remitida por la Coordinación de Proyección Social (diligenciado por parte de los participantes)
Cargar </t>
    </r>
    <r>
      <rPr>
        <rFont val="Arial"/>
        <b/>
        <color rgb="FF1155CC"/>
        <sz val="11.0"/>
        <u/>
      </rPr>
      <t>planilla de certificación SNIES</t>
    </r>
    <r>
      <rPr>
        <rFont val="Arial"/>
        <color rgb="FF1155CC"/>
        <sz val="11.0"/>
        <u/>
      </rPr>
      <t xml:space="preserve"> con la totalidad de participantes a certificar, con previa verificación de nombres y apellidos de los participantes en página de la Polícia.
Link ejemplo ubicado en la carpeta Documentos Generales - Planilla de certificación SNIES:
</t>
    </r>
    <r>
      <rPr>
        <rFont val="Arial"/>
        <color rgb="FF1155CC"/>
        <sz val="11.0"/>
        <u/>
      </rPr>
      <t>https://drive.google.com/drive/u/1/folders/1brOzvgm6dBZq8OXVNiwxpOofTEraF8no</t>
    </r>
    <r>
      <rPr>
        <rFont val="Arial"/>
        <color rgb="FF1155CC"/>
        <sz val="11.0"/>
        <u/>
      </rPr>
      <t xml:space="preserve"> </t>
    </r>
  </si>
  <si>
    <r>
      <rPr>
        <rFont val="Arial"/>
        <color theme="1"/>
        <sz val="11.0"/>
      </rPr>
      <t xml:space="preserve">Aplicar y cargar los </t>
    </r>
    <r>
      <rPr>
        <rFont val="Arial"/>
        <b/>
        <color theme="1"/>
        <sz val="11.0"/>
      </rPr>
      <t>formatos de listados de asistencia</t>
    </r>
    <r>
      <rPr>
        <rFont val="Arial"/>
        <color theme="1"/>
        <sz val="11.0"/>
      </rPr>
      <t xml:space="preserve"> 
</t>
    </r>
    <r>
      <rPr>
        <rFont val="Arial"/>
        <b/>
        <color theme="1"/>
        <sz val="11.0"/>
      </rPr>
      <t>Actividad 2</t>
    </r>
  </si>
  <si>
    <r>
      <rPr>
        <rFont val="Arial"/>
        <b/>
        <color theme="1"/>
        <sz val="11.0"/>
      </rPr>
      <t xml:space="preserve">Actividad presencial: </t>
    </r>
    <r>
      <rPr>
        <rFont val="Arial"/>
        <color theme="1"/>
        <sz val="11.0"/>
      </rPr>
      <t xml:space="preserve">Cargar PDF de los listados de asistencia escaneados (diligenciados por parte de los participantes)
</t>
    </r>
    <r>
      <rPr>
        <rFont val="Arial"/>
        <b/>
        <color theme="1"/>
        <sz val="11.0"/>
      </rPr>
      <t>Actividad virtual</t>
    </r>
    <r>
      <rPr>
        <rFont val="Arial"/>
        <color theme="1"/>
        <sz val="11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1.0"/>
      </rPr>
      <t>Solo está permitido hacer uso de los formatos establecidos por el área</t>
    </r>
    <r>
      <rPr>
        <rFont val="Arial"/>
        <color theme="1"/>
        <sz val="11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</si>
  <si>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r>
      <rPr>
        <rFont val="Arial"/>
        <color theme="1"/>
        <sz val="11.0"/>
      </rPr>
      <t xml:space="preserve">Elaborar y aplicar los </t>
    </r>
    <r>
      <rPr>
        <rFont val="Arial"/>
        <b/>
        <color theme="1"/>
        <sz val="11.0"/>
      </rPr>
      <t>formatos de listados de asistencia</t>
    </r>
    <r>
      <rPr>
        <rFont val="Arial"/>
        <color theme="1"/>
        <sz val="11.0"/>
      </rPr>
      <t xml:space="preserve"> 
Diligenciar la </t>
    </r>
    <r>
      <rPr>
        <rFont val="Arial"/>
        <b/>
        <color theme="1"/>
        <sz val="11.0"/>
      </rPr>
      <t>planilla de certificación SNIES 
Actividad #2</t>
    </r>
  </si>
  <si>
    <r>
      <rPr>
        <rFont val="Arial"/>
        <b/>
        <color rgb="FF1155CC"/>
        <sz val="11.0"/>
        <u/>
      </rPr>
      <t>Actividad presencial:</t>
    </r>
    <r>
      <rPr>
        <rFont val="Arial"/>
        <color rgb="FF1155CC"/>
        <sz val="11.0"/>
        <u/>
      </rPr>
      <t xml:space="preserve"> Cargar PDF del listado de asistencia escaneado (diligenciado por parte de los participantes)
</t>
    </r>
    <r>
      <rPr>
        <rFont val="Arial"/>
        <b/>
        <color rgb="FF1155CC"/>
        <sz val="11.0"/>
        <u/>
      </rPr>
      <t xml:space="preserve">Actividad virtual: </t>
    </r>
    <r>
      <rPr>
        <rFont val="Arial"/>
        <color rgb="FF1155CC"/>
        <sz val="11.0"/>
        <u/>
      </rPr>
      <t xml:space="preserve">Cargar Excel de asistencia de la actividad remitida por la Coordinación de Proyección Social (diligenciado por parte de los participantes)
Cargar </t>
    </r>
    <r>
      <rPr>
        <rFont val="Arial"/>
        <b/>
        <color rgb="FF1155CC"/>
        <sz val="11.0"/>
        <u/>
      </rPr>
      <t>planilla de certificación SNIES</t>
    </r>
    <r>
      <rPr>
        <rFont val="Arial"/>
        <color rgb="FF1155CC"/>
        <sz val="11.0"/>
        <u/>
      </rPr>
      <t xml:space="preserve"> con la totalidad de participantes a certificar, con previa verificación de nombres y apellidos de los participantes en página de la Polícia.
Link ejemplo ubicado en la carpeta Documentos Generales - Planilla de certificación SNIES:
</t>
    </r>
    <r>
      <rPr>
        <rFont val="Arial"/>
        <color rgb="FF1155CC"/>
        <sz val="11.0"/>
        <u/>
      </rPr>
      <t>https://drive.google.com/drive/u/1/folders/1brOzvgm6dBZq8OXVNiwxpOofTEraF8no</t>
    </r>
    <r>
      <rPr>
        <rFont val="Arial"/>
        <color rgb="FF1155CC"/>
        <sz val="11.0"/>
        <u/>
      </rPr>
      <t xml:space="preserve"> </t>
    </r>
  </si>
  <si>
    <r>
      <rPr>
        <rFont val="Arial"/>
        <color theme="1"/>
        <sz val="11.0"/>
      </rPr>
      <t xml:space="preserve">Implementación - </t>
    </r>
    <r>
      <rPr>
        <rFont val="Arial"/>
        <b/>
        <color theme="1"/>
        <sz val="11.0"/>
      </rPr>
      <t>Actividad #4</t>
    </r>
  </si>
  <si>
    <t>Noviembre - Semana 16</t>
  </si>
  <si>
    <r>
      <rPr>
        <rFont val="Arial"/>
        <color theme="1"/>
        <sz val="11.0"/>
      </rPr>
      <t xml:space="preserve">Generar registro fotográfico y/o grabación de la actividad
</t>
    </r>
    <r>
      <rPr>
        <rFont val="Arial"/>
        <b/>
        <color theme="1"/>
        <sz val="11.0"/>
      </rPr>
      <t>Actividad #4</t>
    </r>
  </si>
  <si>
    <r>
      <rPr>
        <rFont val="Arial"/>
        <b/>
        <color rgb="FF000000"/>
        <sz val="11.0"/>
      </rPr>
      <t>Actividad presencial</t>
    </r>
    <r>
      <rPr>
        <rFont val="Arial"/>
        <color rgb="FF000000"/>
        <sz val="11.0"/>
      </rPr>
      <t xml:space="preserve">: Cargar fotografías del desarrollo de la actividad
</t>
    </r>
    <r>
      <rPr>
        <rFont val="Arial"/>
        <b/>
        <color rgb="FF000000"/>
        <sz val="11.0"/>
      </rPr>
      <t>Actividad virtual:</t>
    </r>
    <r>
      <rPr>
        <rFont val="Arial"/>
        <color rgb="FF000000"/>
        <sz val="11.0"/>
      </rPr>
      <t xml:space="preserve"> Cargar la grabación y pantallazos del desarrollo de la actividad</t>
    </r>
  </si>
  <si>
    <r>
      <rPr>
        <rFont val="Arial"/>
        <color theme="1"/>
        <sz val="11.0"/>
      </rPr>
      <t xml:space="preserve">Entrega de </t>
    </r>
    <r>
      <rPr>
        <rFont val="Arial"/>
        <b/>
        <color theme="1"/>
        <sz val="11.0"/>
      </rPr>
      <t xml:space="preserve">Acta de actividad firmada </t>
    </r>
    <r>
      <rPr>
        <rFont val="Arial"/>
        <color theme="1"/>
        <sz val="11.0"/>
      </rPr>
      <t xml:space="preserve">por actor externo y docente de proyección social,  </t>
    </r>
    <r>
      <rPr>
        <rFont val="Arial"/>
        <b/>
        <color theme="1"/>
        <sz val="11.0"/>
      </rPr>
      <t>y presupuesto en Excel</t>
    </r>
    <r>
      <rPr>
        <rFont val="Arial"/>
        <color theme="1"/>
        <sz val="11.0"/>
      </rPr>
      <t xml:space="preserve">, con total de beneficiarios reportado en la planilla SNIES
</t>
    </r>
    <r>
      <rPr>
        <rFont val="Arial"/>
        <b/>
        <color theme="1"/>
        <sz val="11.0"/>
      </rPr>
      <t>Actividad #2</t>
    </r>
  </si>
  <si>
    <r>
      <rPr>
        <rFont val="Arial"/>
        <color theme="1"/>
        <sz val="11.0"/>
      </rPr>
      <t xml:space="preserve">Aplicar y cargar los </t>
    </r>
    <r>
      <rPr>
        <rFont val="Arial"/>
        <b/>
        <color theme="1"/>
        <sz val="11.0"/>
      </rPr>
      <t>formatos de listados de asistencia</t>
    </r>
    <r>
      <rPr>
        <rFont val="Arial"/>
        <color theme="1"/>
        <sz val="11.0"/>
      </rPr>
      <t xml:space="preserve"> 
</t>
    </r>
    <r>
      <rPr>
        <rFont val="Arial"/>
        <b/>
        <color theme="1"/>
        <sz val="11.0"/>
      </rPr>
      <t>Actividad 3</t>
    </r>
  </si>
  <si>
    <r>
      <rPr>
        <rFont val="Arial"/>
        <b/>
        <color theme="1"/>
        <sz val="11.0"/>
      </rPr>
      <t xml:space="preserve">Actividad presencial: </t>
    </r>
    <r>
      <rPr>
        <rFont val="Arial"/>
        <color theme="1"/>
        <sz val="11.0"/>
      </rPr>
      <t xml:space="preserve">Cargar PDF de los listados de asistencia escaneados (diligenciados por parte de los participantes)
</t>
    </r>
    <r>
      <rPr>
        <rFont val="Arial"/>
        <b/>
        <color theme="1"/>
        <sz val="11.0"/>
      </rPr>
      <t>Actividad virtual</t>
    </r>
    <r>
      <rPr>
        <rFont val="Arial"/>
        <color theme="1"/>
        <sz val="11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1.0"/>
      </rPr>
      <t>Solo está permitido hacer uso de los formatos establecidos por el área</t>
    </r>
    <r>
      <rPr>
        <rFont val="Arial"/>
        <color theme="1"/>
        <sz val="11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</si>
  <si>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r>
      <rPr>
        <rFont val="Arial"/>
        <color theme="1"/>
        <sz val="11.0"/>
      </rPr>
      <t xml:space="preserve">Elaborar y aplicar los </t>
    </r>
    <r>
      <rPr>
        <rFont val="Arial"/>
        <b/>
        <color theme="1"/>
        <sz val="11.0"/>
      </rPr>
      <t>formatos de listados de asistencia</t>
    </r>
    <r>
      <rPr>
        <rFont val="Arial"/>
        <color theme="1"/>
        <sz val="11.0"/>
      </rPr>
      <t xml:space="preserve"> 
Diligenciar la </t>
    </r>
    <r>
      <rPr>
        <rFont val="Arial"/>
        <b/>
        <color theme="1"/>
        <sz val="11.0"/>
      </rPr>
      <t>planilla de certificación SNIES 
Actividad #3</t>
    </r>
  </si>
  <si>
    <r>
      <rPr>
        <rFont val="Arial"/>
        <b/>
        <color rgb="FF1155CC"/>
        <sz val="11.0"/>
        <u/>
      </rPr>
      <t>Actividad presencial:</t>
    </r>
    <r>
      <rPr>
        <rFont val="Arial"/>
        <color rgb="FF1155CC"/>
        <sz val="11.0"/>
        <u/>
      </rPr>
      <t xml:space="preserve"> Cargar PDF del listado de asistencia escaneado (diligenciado por parte de los participantes)
</t>
    </r>
    <r>
      <rPr>
        <rFont val="Arial"/>
        <b/>
        <color rgb="FF1155CC"/>
        <sz val="11.0"/>
        <u/>
      </rPr>
      <t xml:space="preserve">Actividad virtual: </t>
    </r>
    <r>
      <rPr>
        <rFont val="Arial"/>
        <color rgb="FF1155CC"/>
        <sz val="11.0"/>
        <u/>
      </rPr>
      <t xml:space="preserve">Cargar Excel de asistencia de la actividad remitida por la Coordinación de Proyección Social (diligenciado por parte de los participantes)
Cargar </t>
    </r>
    <r>
      <rPr>
        <rFont val="Arial"/>
        <b/>
        <color rgb="FF1155CC"/>
        <sz val="11.0"/>
        <u/>
      </rPr>
      <t>planilla de certificación SNIES</t>
    </r>
    <r>
      <rPr>
        <rFont val="Arial"/>
        <color rgb="FF1155CC"/>
        <sz val="11.0"/>
        <u/>
      </rPr>
      <t xml:space="preserve"> con la totalidad de participantes a certificar, con previa verificación de nombres y apellidos de los participantes en página de la Polícia.
Link ejemplo ubicado en la carpeta Documentos Generales - Planilla de certificación SNIES:
</t>
    </r>
    <r>
      <rPr>
        <rFont val="Arial"/>
        <color rgb="FF1155CC"/>
        <sz val="11.0"/>
        <u/>
      </rPr>
      <t>https://drive.google.com/drive/u/1/folders/1brOzvgm6dBZq8OXVNiwxpOofTEraF8no</t>
    </r>
    <r>
      <rPr>
        <rFont val="Arial"/>
        <color rgb="FF1155CC"/>
        <sz val="11.0"/>
        <u/>
      </rPr>
      <t xml:space="preserve"> </t>
    </r>
  </si>
  <si>
    <r>
      <rPr>
        <rFont val="Arial"/>
        <color theme="1"/>
        <sz val="11.0"/>
      </rPr>
      <t xml:space="preserve">Aplicar y cargar los </t>
    </r>
    <r>
      <rPr>
        <rFont val="Arial"/>
        <b/>
        <color theme="1"/>
        <sz val="11.0"/>
      </rPr>
      <t>formatos de listados de asistencia</t>
    </r>
    <r>
      <rPr>
        <rFont val="Arial"/>
        <color theme="1"/>
        <sz val="11.0"/>
      </rPr>
      <t xml:space="preserve"> 
</t>
    </r>
    <r>
      <rPr>
        <rFont val="Arial"/>
        <b/>
        <color theme="1"/>
        <sz val="11.0"/>
      </rPr>
      <t>Actividad 4</t>
    </r>
  </si>
  <si>
    <r>
      <rPr>
        <rFont val="Arial"/>
        <b/>
        <color theme="1"/>
        <sz val="11.0"/>
      </rPr>
      <t xml:space="preserve">Actividad presencial: </t>
    </r>
    <r>
      <rPr>
        <rFont val="Arial"/>
        <color theme="1"/>
        <sz val="11.0"/>
      </rPr>
      <t xml:space="preserve">Cargar PDF de los listados de asistencia escaneados (diligenciados por parte de los participantes)
</t>
    </r>
    <r>
      <rPr>
        <rFont val="Arial"/>
        <b/>
        <color theme="1"/>
        <sz val="11.0"/>
      </rPr>
      <t>Actividad virtual</t>
    </r>
    <r>
      <rPr>
        <rFont val="Arial"/>
        <color theme="1"/>
        <sz val="11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1.0"/>
      </rPr>
      <t>Solo está permitido hacer uso de los formatos establecidos por el área</t>
    </r>
    <r>
      <rPr>
        <rFont val="Arial"/>
        <color theme="1"/>
        <sz val="11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</si>
  <si>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t>Noviembre - Semana 17</t>
  </si>
  <si>
    <r>
      <rPr>
        <rFont val="Arial"/>
        <color theme="1"/>
        <sz val="11.0"/>
      </rPr>
      <t xml:space="preserve">Entrega de </t>
    </r>
    <r>
      <rPr>
        <rFont val="Arial"/>
        <b/>
        <color theme="1"/>
        <sz val="11.0"/>
      </rPr>
      <t xml:space="preserve">Acta de actividad firmada </t>
    </r>
    <r>
      <rPr>
        <rFont val="Arial"/>
        <color theme="1"/>
        <sz val="11.0"/>
      </rPr>
      <t xml:space="preserve">por actor externo y docente de proyección social,  </t>
    </r>
    <r>
      <rPr>
        <rFont val="Arial"/>
        <b/>
        <color theme="1"/>
        <sz val="11.0"/>
      </rPr>
      <t>y presupuesto en Excel</t>
    </r>
    <r>
      <rPr>
        <rFont val="Arial"/>
        <color theme="1"/>
        <sz val="11.0"/>
      </rPr>
      <t xml:space="preserve">, con total de beneficiarios reportado en la planilla SNIES
</t>
    </r>
    <r>
      <rPr>
        <rFont val="Arial"/>
        <b/>
        <color theme="1"/>
        <sz val="11.0"/>
      </rPr>
      <t>Actividad #3</t>
    </r>
  </si>
  <si>
    <r>
      <rPr>
        <rFont val="Arial"/>
        <color theme="1"/>
        <sz val="11.0"/>
      </rPr>
      <t xml:space="preserve">Entrega de </t>
    </r>
    <r>
      <rPr>
        <rFont val="Arial"/>
        <b/>
        <color theme="1"/>
        <sz val="11.0"/>
      </rPr>
      <t xml:space="preserve">Acta de actividad firmada </t>
    </r>
    <r>
      <rPr>
        <rFont val="Arial"/>
        <color theme="1"/>
        <sz val="11.0"/>
      </rPr>
      <t xml:space="preserve">por actor externo y docente de proyección social,  </t>
    </r>
    <r>
      <rPr>
        <rFont val="Arial"/>
        <b/>
        <color theme="1"/>
        <sz val="11.0"/>
      </rPr>
      <t>y presupuesto en Excel</t>
    </r>
    <r>
      <rPr>
        <rFont val="Arial"/>
        <color theme="1"/>
        <sz val="11.0"/>
      </rPr>
      <t xml:space="preserve">, con total de beneficiarios reportado en la planilla SNIES
</t>
    </r>
    <r>
      <rPr>
        <rFont val="Arial"/>
        <b/>
        <color theme="1"/>
        <sz val="11.0"/>
      </rPr>
      <t>Actividad #4</t>
    </r>
  </si>
  <si>
    <r>
      <rPr>
        <rFont val="Arial"/>
        <color theme="1"/>
        <sz val="11.0"/>
      </rPr>
      <t xml:space="preserve">Elaborar y aplicar los </t>
    </r>
    <r>
      <rPr>
        <rFont val="Arial"/>
        <b/>
        <color theme="1"/>
        <sz val="11.0"/>
      </rPr>
      <t>formatos de listados de asistencia</t>
    </r>
    <r>
      <rPr>
        <rFont val="Arial"/>
        <color theme="1"/>
        <sz val="11.0"/>
      </rPr>
      <t xml:space="preserve"> 
Diligenciar la </t>
    </r>
    <r>
      <rPr>
        <rFont val="Arial"/>
        <b/>
        <color theme="1"/>
        <sz val="11.0"/>
      </rPr>
      <t>planilla de certificación SNIES 
Actividad #4</t>
    </r>
  </si>
  <si>
    <r>
      <rPr>
        <rFont val="Arial"/>
        <b/>
        <color rgb="FF1155CC"/>
        <sz val="11.0"/>
        <u/>
      </rPr>
      <t>Actividad presencial:</t>
    </r>
    <r>
      <rPr>
        <rFont val="Arial"/>
        <color rgb="FF1155CC"/>
        <sz val="11.0"/>
        <u/>
      </rPr>
      <t xml:space="preserve"> Cargar PDF del listado de asistencia escaneado (diligenciado por parte de los participantes)
</t>
    </r>
    <r>
      <rPr>
        <rFont val="Arial"/>
        <b/>
        <color rgb="FF1155CC"/>
        <sz val="11.0"/>
        <u/>
      </rPr>
      <t xml:space="preserve">Actividad virtual: </t>
    </r>
    <r>
      <rPr>
        <rFont val="Arial"/>
        <color rgb="FF1155CC"/>
        <sz val="11.0"/>
        <u/>
      </rPr>
      <t xml:space="preserve">Cargar Excel de asistencia de la actividad remitida por la Coordinación de Proyección Social (diligenciado por parte de los participantes)
Cargar </t>
    </r>
    <r>
      <rPr>
        <rFont val="Arial"/>
        <b/>
        <color rgb="FF1155CC"/>
        <sz val="11.0"/>
        <u/>
      </rPr>
      <t>planilla de certificación SNIES</t>
    </r>
    <r>
      <rPr>
        <rFont val="Arial"/>
        <color rgb="FF1155CC"/>
        <sz val="11.0"/>
        <u/>
      </rPr>
      <t xml:space="preserve"> con la totalidad de participantes a certificar, con previa verificación de nombres y apellidos de los participantes en página de la Polícia.
Link ejemplo ubicado en la carpeta Documentos Generales - Planilla de certificación SNIES:
</t>
    </r>
    <r>
      <rPr>
        <rFont val="Arial"/>
        <color rgb="FF1155CC"/>
        <sz val="11.0"/>
        <u/>
      </rPr>
      <t>https://drive.google.com/drive/u/1/folders/1brOzvgm6dBZq8OXVNiwxpOofTEraF8no</t>
    </r>
    <r>
      <rPr>
        <rFont val="Arial"/>
        <color rgb="FF1155CC"/>
        <sz val="11.0"/>
        <u/>
      </rPr>
      <t xml:space="preserve"> </t>
    </r>
  </si>
  <si>
    <t>Diligenciar el formato de consentimiento informado firmado para uso de imagen del video testimonial</t>
  </si>
  <si>
    <t>Generar vídeo de testimonio Docente con relación a su experiencia como docente de proyección social</t>
  </si>
  <si>
    <r>
      <rPr>
        <rFont val="Arial"/>
        <color rgb="FF000000"/>
        <sz val="11.0"/>
        <u/>
      </rPr>
      <t xml:space="preserve">Cargar vídeos testimoniales: Docente del proyecto
</t>
    </r>
    <r>
      <rPr>
        <rFont val="Arial"/>
        <b/>
        <color rgb="FF000000"/>
        <sz val="11.0"/>
        <u/>
      </rPr>
      <t>Nota:</t>
    </r>
    <r>
      <rPr>
        <rFont val="Arial"/>
        <color rgb="FF000000"/>
        <sz val="11.0"/>
        <u/>
      </rPr>
      <t xml:space="preserve"> Grabar cada vídeo con el celular ubicado de forma horizontal. Duración máxima del vídeo 1:30 minutos
Ejemplo ubicado en documentos generales: https://drive.google.com/drive/u/1/folders/1YJKs6nlr1vlISodCUA1m3dx2MpJjtEOQ </t>
    </r>
  </si>
  <si>
    <t>CAPACITACIÓN Y ASISTENCIA TÉCNICA</t>
  </si>
  <si>
    <r>
      <rPr>
        <rFont val="Arial"/>
        <color theme="1"/>
        <sz val="11.0"/>
      </rPr>
      <t xml:space="preserve">Participar en la </t>
    </r>
    <r>
      <rPr>
        <rFont val="Arial"/>
        <b/>
        <color theme="1"/>
        <sz val="11.0"/>
      </rPr>
      <t>Socialización de Lineamientos de Proyección Social</t>
    </r>
  </si>
  <si>
    <r>
      <rPr>
        <rFont val="Arial"/>
        <color rgb="FF000000"/>
        <sz val="11.0"/>
        <u/>
      </rPr>
      <t>Responder la evaluación de entendimiento respecto a la Socialización de Lineamientos de Proyección Social y 
cargar una captura de pantalla del diligenciamiento de formulario</t>
    </r>
    <r>
      <rPr>
        <rFont val="Arial"/>
        <color rgb="FF1155CC"/>
        <sz val="11.0"/>
        <u/>
      </rPr>
      <t xml:space="preserve">
</t>
    </r>
    <r>
      <rPr>
        <rFont val="Arial"/>
        <b/>
        <color rgb="FF1155CC"/>
        <sz val="11.0"/>
        <u/>
      </rPr>
      <t>Link evaluación</t>
    </r>
    <r>
      <rPr>
        <rFont val="Arial"/>
        <color rgb="FF1155CC"/>
        <sz val="11.0"/>
        <u/>
      </rPr>
      <t>: https://forms.gle/f3QRKygfrKtrQiFG9</t>
    </r>
  </si>
  <si>
    <r>
      <rPr>
        <rFont val="Arial"/>
        <color theme="1"/>
        <sz val="11.0"/>
      </rPr>
      <t xml:space="preserve">Diligenciar formulario de </t>
    </r>
    <r>
      <rPr>
        <rFont val="Arial"/>
        <b/>
        <color theme="1"/>
        <sz val="11.0"/>
      </rPr>
      <t xml:space="preserve">Compromiso docente </t>
    </r>
  </si>
  <si>
    <r>
      <rPr>
        <rFont val="Arial"/>
        <color rgb="FF000000"/>
        <sz val="11.0"/>
        <u/>
      </rPr>
      <t>Responder formulario de compromiso docente y cargar una captura de pantalla del diligenciamiento de formulario.</t>
    </r>
    <r>
      <rPr>
        <rFont val="Arial"/>
        <color rgb="FF1155CC"/>
        <sz val="11.0"/>
        <u/>
      </rPr>
      <t xml:space="preserve">
Link: https://forms.gle/BabTQRx7QQzSLsiS8</t>
    </r>
  </si>
  <si>
    <r>
      <rPr>
        <rFont val="Arial"/>
        <color theme="1"/>
        <sz val="11.0"/>
      </rPr>
      <t>Lectura y evaluación de la</t>
    </r>
    <r>
      <rPr>
        <rFont val="Arial"/>
        <b/>
        <color theme="1"/>
        <sz val="11.0"/>
      </rPr>
      <t xml:space="preserve"> Política de Proyección Social</t>
    </r>
  </si>
  <si>
    <r>
      <rPr>
        <rFont val="Arial"/>
        <color rgb="FF1155CC"/>
        <sz val="11.0"/>
      </rPr>
      <t xml:space="preserve">
</t>
    </r>
    <r>
      <rPr>
        <rFont val="Arial"/>
        <color rgb="FF000000"/>
        <sz val="11.0"/>
      </rPr>
      <t>Responder la evaluación de entendimiento respecto a la Política de Proyección Social  y Cargar una captura de pantalla del diligenciamiento de formulario</t>
    </r>
    <r>
      <rPr>
        <rFont val="Arial"/>
        <color rgb="FF1155CC"/>
        <sz val="11.0"/>
      </rPr>
      <t xml:space="preserve">.
</t>
    </r>
    <r>
      <rPr>
        <rFont val="Arial"/>
        <color rgb="FF1155CC"/>
        <sz val="11.0"/>
        <u/>
      </rPr>
      <t>https://forms.gle/NERgUvcBqoT7j1Bw8</t>
    </r>
    <r>
      <rPr>
        <rFont val="Arial"/>
        <color rgb="FF1155CC"/>
        <sz val="11.0"/>
      </rPr>
      <t xml:space="preserve"> 
</t>
    </r>
  </si>
  <si>
    <r>
      <rPr>
        <rFont val="Arial"/>
        <color theme="1"/>
        <sz val="11.0"/>
      </rPr>
      <t xml:space="preserve">Participar en la Capacitación en formatos y entregables de proyección social
</t>
    </r>
    <r>
      <rPr>
        <rFont val="Arial"/>
        <b/>
        <color theme="1"/>
        <sz val="11.0"/>
      </rPr>
      <t xml:space="preserve">Capacitación 1: 
</t>
    </r>
    <r>
      <rPr>
        <rFont val="Arial"/>
        <color theme="1"/>
        <sz val="11.0"/>
      </rPr>
      <t xml:space="preserve"> Socialización Indicadores, Política de Proyección Social Mapeo de actores, Acta de reunión, Plan de trabajo, Practicas.</t>
    </r>
  </si>
  <si>
    <r>
      <rPr>
        <rFont val="Arial"/>
        <color rgb="FF000000"/>
        <sz val="11.0"/>
        <u/>
      </rPr>
      <t xml:space="preserve">
Responder la evaluación de entendimiento respecto a los formatos y entregables de proyección social  y Cargar una captura de pantalla del diligenciamiento de formulario.
</t>
    </r>
    <r>
      <rPr>
        <rFont val="Arial"/>
        <color rgb="FF1155CC"/>
        <sz val="11.0"/>
        <u/>
      </rPr>
      <t xml:space="preserve">https://forms.gle/iU9TB3rw6X6Lfoki9
</t>
    </r>
  </si>
  <si>
    <r>
      <rPr>
        <rFont val="Arial"/>
        <color theme="1"/>
        <sz val="11.0"/>
      </rPr>
      <t xml:space="preserve">Participar en la Capacitación en formatos y entregables de proyección social - Actividad
</t>
    </r>
    <r>
      <rPr>
        <rFont val="Arial"/>
        <b/>
        <color theme="1"/>
        <sz val="11.0"/>
      </rPr>
      <t xml:space="preserve">Capacitación 2 Proyectos parte 1: 
</t>
    </r>
    <r>
      <rPr>
        <rFont val="Arial"/>
        <color theme="1"/>
        <sz val="11.0"/>
      </rPr>
      <t>Solicitud de pieza, formulario de inscripción, Correo de bienvenida, listados de asistencia, medición de entendimiento, nota cocepto y presupuesto.</t>
    </r>
  </si>
  <si>
    <r>
      <rPr>
        <rFont val="Arial"/>
        <color rgb="FF000000"/>
        <sz val="11.0"/>
        <u/>
      </rPr>
      <t>Responder la evaluación de entendimiento respecto a los formatos y entregables de proyección social y Cargar una captura de pantalla del diligenciamiento de formulario.</t>
    </r>
    <r>
      <rPr>
        <rFont val="Arial"/>
        <color rgb="FF1155CC"/>
        <sz val="11.0"/>
        <u/>
      </rPr>
      <t xml:space="preserve">
https://forms.gle/GS1yZZNbnRvBrneX6
</t>
    </r>
  </si>
  <si>
    <r>
      <rPr>
        <rFont val="Arial"/>
        <color theme="1"/>
        <sz val="11.0"/>
      </rPr>
      <t xml:space="preserve">Participar en la capacitación en formatos y entregables de proyección social - Proyecto
</t>
    </r>
    <r>
      <rPr>
        <rFont val="Arial"/>
        <b/>
        <color theme="1"/>
        <sz val="11.0"/>
      </rPr>
      <t xml:space="preserve">Capacitación 3 proyectos parte 2: </t>
    </r>
    <r>
      <rPr>
        <rFont val="Arial"/>
        <color theme="1"/>
        <sz val="11.0"/>
      </rPr>
      <t xml:space="preserve"> 
Nota Concepto, Presupuesto, Registro fotográfico, encuesta de satisfacción, videos testimoniales, carta de reconocimiento.</t>
    </r>
  </si>
  <si>
    <r>
      <rPr>
        <rFont val="Arial"/>
        <color rgb="FF000000"/>
        <sz val="11.0"/>
        <u/>
      </rPr>
      <t>Responder la evaluación de entendimiento respecto a los formatos y entregables de proyección socia y Cargar una captura de pantalla del diligenciamiento de formulario</t>
    </r>
    <r>
      <rPr>
        <rFont val="Arial"/>
        <color rgb="FF467886"/>
        <sz val="11.0"/>
        <u/>
      </rPr>
      <t xml:space="preserve">.
</t>
    </r>
    <r>
      <rPr>
        <rFont val="Arial"/>
        <color rgb="FF000000"/>
        <sz val="11.0"/>
        <u/>
      </rPr>
      <t xml:space="preserve">l </t>
    </r>
    <r>
      <rPr>
        <rFont val="Arial"/>
        <color rgb="FF1155CC"/>
        <sz val="11.0"/>
        <u/>
      </rPr>
      <t xml:space="preserve">https://forms.gle/wArTThjuhuhNW2MU6
</t>
    </r>
  </si>
  <si>
    <r>
      <rPr>
        <rFont val="Arial"/>
        <color theme="1"/>
        <sz val="11.0"/>
      </rPr>
      <t xml:space="preserve">Participar en la Capacitación en formatos y entregables de proyección social - Actividad
</t>
    </r>
    <r>
      <rPr>
        <rFont val="Arial"/>
        <b/>
        <color theme="1"/>
        <sz val="11.0"/>
      </rPr>
      <t xml:space="preserve">Capacitación 4 Actividades: 
</t>
    </r>
    <r>
      <rPr>
        <rFont val="Arial"/>
        <color theme="1"/>
        <sz val="11.0"/>
      </rPr>
      <t>Acta de actividad, Presupuesto, Correo de Bienvenida, Formatos de asistencia y Registro fotográfico</t>
    </r>
  </si>
  <si>
    <t xml:space="preserve">Responder la evaluación de entendimiento respecto a los formatos y entregables de proyección social y Cargar una captura de pantalla del diligenciamiento de formulario.
</t>
  </si>
  <si>
    <r>
      <rPr>
        <rFont val="Arial"/>
        <color theme="1"/>
        <sz val="11.0"/>
      </rPr>
      <t xml:space="preserve">Elaborar el </t>
    </r>
    <r>
      <rPr>
        <rFont val="Arial"/>
        <b/>
        <color theme="1"/>
        <sz val="11.0"/>
      </rPr>
      <t>plan de trabajo</t>
    </r>
    <r>
      <rPr>
        <rFont val="Arial"/>
        <color theme="1"/>
        <sz val="11.0"/>
      </rPr>
      <t xml:space="preserve"> de acuerdo con los indicadores asignados </t>
    </r>
  </si>
  <si>
    <r>
      <rPr>
        <rFont val="Arial"/>
        <color rgb="FF000000"/>
        <sz val="11.0"/>
        <u/>
      </rPr>
      <t xml:space="preserve">Diligenciar formulario del plan de trabajo 2025A y Cargar una captura de pantalla del diligenciamiento de formulario.
</t>
    </r>
    <r>
      <rPr>
        <rFont val="Arial"/>
        <color rgb="FF1155CC"/>
        <sz val="11.0"/>
        <u/>
      </rPr>
      <t xml:space="preserve">https://forms.gle/1urJUFg1ZDrK9Fag6
</t>
    </r>
  </si>
  <si>
    <r>
      <rPr>
        <rFont val="Arial"/>
        <color theme="1"/>
        <sz val="11.0"/>
      </rPr>
      <t xml:space="preserve">Realizar la reunión con el actor externo de acuerdo con el formato de </t>
    </r>
    <r>
      <rPr>
        <rFont val="Arial"/>
        <b/>
        <color theme="1"/>
        <sz val="11.0"/>
      </rPr>
      <t>Acta de reunión con actores externos</t>
    </r>
  </si>
  <si>
    <r>
      <rPr>
        <rFont val="Arial"/>
        <color rgb="FF000000"/>
        <sz val="11.0"/>
        <u/>
      </rPr>
      <t xml:space="preserve">Cargar PDF del Acta de reunión firmada por actor externo y docente de proyección social, y fotografías (pantallazos o link de la grabación de la reunión)
Link ejemplo ubicado en la carpeta Documentos Generales - Acta de reunión proyectos: </t>
    </r>
    <r>
      <rPr>
        <rFont val="Arial"/>
        <color rgb="FF467886"/>
        <sz val="11.0"/>
        <u/>
      </rPr>
      <t xml:space="preserve">
</t>
    </r>
    <r>
      <rPr>
        <rFont val="Arial"/>
        <color rgb="FF1155CC"/>
        <sz val="11.0"/>
        <u/>
      </rPr>
      <t>https://drive.google.com/drive/u/2/folders/1O-Hq47gfuRRsag-5gBITaVaXG_FC0KLq</t>
    </r>
  </si>
  <si>
    <t>CONVENIOS</t>
  </si>
  <si>
    <t>Contacto y relacionamiento con dos aliados de proyección social para dinamizar convenios previamente firmados</t>
  </si>
  <si>
    <r>
      <rPr>
        <rFont val="Arial"/>
        <color theme="1"/>
        <sz val="11.0"/>
      </rPr>
      <t xml:space="preserve">Diligenciar el </t>
    </r>
    <r>
      <rPr>
        <rFont val="Arial"/>
        <b/>
        <color theme="1"/>
        <sz val="11.0"/>
      </rPr>
      <t>Mapeo de Actores</t>
    </r>
    <r>
      <rPr>
        <rFont val="Arial"/>
        <color theme="1"/>
        <sz val="11.0"/>
      </rPr>
      <t xml:space="preserve"> indicando los dos actores de los dos convenios de proyección social que se van a dinamizar</t>
    </r>
  </si>
  <si>
    <r>
      <rPr>
        <rFont val="Arial"/>
        <color rgb="FF467886"/>
        <sz val="11.0"/>
        <u/>
      </rPr>
      <t>Diligenciar link formulario Mapeo de Actores</t>
    </r>
    <r>
      <rPr>
        <rFont val="Arial"/>
        <color rgb="FF000000"/>
        <sz val="11.0"/>
        <u/>
      </rPr>
      <t xml:space="preserve"> y </t>
    </r>
    <r>
      <rPr>
        <rFont val="Arial"/>
        <color rgb="FF1155CC"/>
        <sz val="11.0"/>
        <u/>
      </rPr>
      <t>Cargar una captura de pantalla del diligenciamiento de formulario.
https://forms.gle/4ijbS1U2GMBy87ZD9</t>
    </r>
  </si>
  <si>
    <r>
      <rPr>
        <rFont val="Arial"/>
        <b/>
        <color theme="1"/>
        <sz val="12.0"/>
      </rPr>
      <t>Minuta de convenio</t>
    </r>
    <r>
      <rPr>
        <rFont val="Arial"/>
        <color theme="1"/>
        <sz val="12.0"/>
      </rPr>
      <t xml:space="preserve"> firmada por parte del actor externo</t>
    </r>
  </si>
  <si>
    <r>
      <rPr>
        <rFont val="Arial"/>
        <color theme="1"/>
        <sz val="12.0"/>
      </rPr>
      <t xml:space="preserve">Solicitar la </t>
    </r>
    <r>
      <rPr>
        <rFont val="Arial"/>
        <b/>
        <color theme="1"/>
        <sz val="12.0"/>
      </rPr>
      <t>Carta de reconocimiento firmada</t>
    </r>
    <r>
      <rPr>
        <rFont val="Arial"/>
        <color theme="1"/>
        <sz val="12.0"/>
      </rPr>
      <t xml:space="preserve"> por parte de aliado 1</t>
    </r>
  </si>
  <si>
    <r>
      <rPr>
        <rFont val="Arial"/>
        <color rgb="FF000000"/>
        <sz val="12.0"/>
        <u/>
      </rPr>
      <t xml:space="preserve">Cargar PDF Carta de reconocimiento firmada por parte del actor externo
Link ejemplo ubicado en la carpeta Documentos Generales - Carta de reconocimiento actor externo: </t>
    </r>
    <r>
      <rPr>
        <rFont val="Arial"/>
        <color rgb="FF1155CC"/>
        <sz val="12.0"/>
        <u/>
      </rPr>
      <t>https://drive.google.com/drive/folders/13Rikz2AJtOXIOJzt1sG8MGAUYkHkr3mr?usp=drive_link</t>
    </r>
  </si>
  <si>
    <r>
      <rPr>
        <rFont val="Arial"/>
        <color theme="1"/>
        <sz val="12.0"/>
      </rPr>
      <t xml:space="preserve">Solicitar la </t>
    </r>
    <r>
      <rPr>
        <rFont val="Arial"/>
        <b/>
        <color theme="1"/>
        <sz val="12.0"/>
      </rPr>
      <t>Carta de reconocimiento firmada</t>
    </r>
    <r>
      <rPr>
        <rFont val="Arial"/>
        <color theme="1"/>
        <sz val="12.0"/>
      </rPr>
      <t xml:space="preserve"> por parte de aliado 2</t>
    </r>
  </si>
  <si>
    <r>
      <rPr>
        <rFont val="Arial"/>
        <color rgb="FF000000"/>
        <sz val="12.0"/>
        <u/>
      </rPr>
      <t xml:space="preserve">Cargar PDF Carta de reconocimiento firmada por parte del actor externo
Link ejemplo ubicado en la carpeta Documentos Generales - Carta de reconocimiento actor externo: </t>
    </r>
    <r>
      <rPr>
        <rFont val="Arial"/>
        <color rgb="FF1155CC"/>
        <sz val="12.0"/>
        <u/>
      </rPr>
      <t>https://drive.google.com/drive/folders/13Rikz2AJtOXIOJzt1sG8MGAUYkHkr3mr?usp=drive_link</t>
    </r>
  </si>
  <si>
    <t>Solicitar formato de consentimiento informado firmado para uso de imagen del video testimonial aliado 1</t>
  </si>
  <si>
    <r>
      <rPr>
        <rFont val="Arial"/>
        <b/>
        <color theme="1"/>
        <sz val="12.0"/>
      </rPr>
      <t>Solicitar vídeo de testimonio:</t>
    </r>
    <r>
      <rPr>
        <rFont val="Arial"/>
        <color theme="1"/>
        <sz val="12.0"/>
      </rPr>
      <t xml:space="preserve"> Del aliado 1</t>
    </r>
  </si>
  <si>
    <r>
      <rPr>
        <rFont val="Arial"/>
        <color rgb="FF000000"/>
        <sz val="12.0"/>
        <u/>
      </rPr>
      <t xml:space="preserve">Cargar vídeos testimoniales: Un aliado del proyecto
</t>
    </r>
    <r>
      <rPr>
        <rFont val="Arial"/>
        <b/>
        <color rgb="FF000000"/>
        <sz val="12.0"/>
        <u/>
      </rPr>
      <t>Nota:</t>
    </r>
    <r>
      <rPr>
        <rFont val="Arial"/>
        <color rgb="FF000000"/>
        <sz val="12.0"/>
        <u/>
      </rPr>
      <t xml:space="preserve"> Grabar cada vídeo con el celular ubicado de forma horizontal. Duración máxima del vídeo 1:30 minutos
Ejemplo ubicado en documentos generales: https://drive.google.com/drive/u/1/folders/1YJKs6nlr1vlISodCUA1m3dx2MpJjtEOQ </t>
    </r>
  </si>
  <si>
    <t>Solicitar formato de consentimiento informado firmado para uso de imagen del video testimonial aliado 2</t>
  </si>
  <si>
    <r>
      <rPr>
        <rFont val="Arial"/>
        <b/>
        <color theme="1"/>
        <sz val="12.0"/>
      </rPr>
      <t>Solicitar vídeo de testimonio:</t>
    </r>
    <r>
      <rPr>
        <rFont val="Arial"/>
        <color theme="1"/>
        <sz val="12.0"/>
      </rPr>
      <t xml:space="preserve"> Del aliado 2</t>
    </r>
  </si>
  <si>
    <r>
      <rPr>
        <rFont val="Arial"/>
        <color rgb="FF000000"/>
        <sz val="12.0"/>
        <u/>
      </rPr>
      <t xml:space="preserve">Cargar vídeos testimoniales: Un aliado del proyecto
</t>
    </r>
    <r>
      <rPr>
        <rFont val="Arial"/>
        <b/>
        <color rgb="FF000000"/>
        <sz val="12.0"/>
        <u/>
      </rPr>
      <t>Nota:</t>
    </r>
    <r>
      <rPr>
        <rFont val="Arial"/>
        <color rgb="FF000000"/>
        <sz val="12.0"/>
        <u/>
      </rPr>
      <t xml:space="preserve"> Grabar cada vídeo con el celular ubicado de forma horizontal. Duración máxima del vídeo 1:30 minutos
Ejemplo ubicado en documentos generales: https://drive.google.com/drive/u/1/folders/1YJKs6nlr1vlISodCUA1m3dx2MpJjtEOQ </t>
    </r>
  </si>
  <si>
    <t>Solicitar formato de consentimiento informado firmado para uso de imagen del video testimonial beneficiario 1</t>
  </si>
  <si>
    <r>
      <rPr>
        <rFont val="Arial"/>
        <b/>
        <color theme="1"/>
        <sz val="12.0"/>
      </rPr>
      <t>Solicitar vídeo de testimonio</t>
    </r>
    <r>
      <rPr>
        <rFont val="Arial"/>
        <color theme="1"/>
        <sz val="12.0"/>
      </rPr>
      <t>: De beneficiario 1</t>
    </r>
  </si>
  <si>
    <r>
      <rPr>
        <rFont val="Arial"/>
        <color rgb="FF000000"/>
        <sz val="12.0"/>
        <u/>
      </rPr>
      <t xml:space="preserve">Cargar vídeos testimoniales: Un beneficiario del proyecto
</t>
    </r>
    <r>
      <rPr>
        <rFont val="Arial"/>
        <b/>
        <color rgb="FF000000"/>
        <sz val="12.0"/>
        <u/>
      </rPr>
      <t>Nota:</t>
    </r>
    <r>
      <rPr>
        <rFont val="Arial"/>
        <color rgb="FF000000"/>
        <sz val="12.0"/>
        <u/>
      </rPr>
      <t xml:space="preserve"> Grabar cada vídeo con el celular ubicado de forma horizontal. Duración máxima del vídeo 1:30 minutos
Ejemplo ubicado en documentos generales: https://drive.google.com/drive/u/1/folders/1YJKs6nlr1vlISodCUA1m3dx2MpJjtEOQ </t>
    </r>
  </si>
  <si>
    <t>Solicitar formato de consentimiento informado firmado para uso de imagen del video testimonial beneficiario 2</t>
  </si>
  <si>
    <r>
      <rPr>
        <rFont val="Arial"/>
        <b/>
        <color theme="1"/>
        <sz val="12.0"/>
      </rPr>
      <t>Solicitar vídeo de testimonio</t>
    </r>
    <r>
      <rPr>
        <rFont val="Arial"/>
        <color theme="1"/>
        <sz val="12.0"/>
      </rPr>
      <t>: De beneficiario 2</t>
    </r>
  </si>
  <si>
    <r>
      <rPr>
        <rFont val="Arial"/>
        <color rgb="FF000000"/>
        <sz val="12.0"/>
        <u/>
      </rPr>
      <t xml:space="preserve">Cargar vídeos testimoniales: Un beneficiario del proyecto
</t>
    </r>
    <r>
      <rPr>
        <rFont val="Arial"/>
        <b/>
        <color rgb="FF000000"/>
        <sz val="12.0"/>
        <u/>
      </rPr>
      <t>Nota:</t>
    </r>
    <r>
      <rPr>
        <rFont val="Arial"/>
        <color rgb="FF000000"/>
        <sz val="12.0"/>
        <u/>
      </rPr>
      <t xml:space="preserve"> Grabar cada vídeo con el celular ubicado de forma horizontal. Duración máxima del vídeo 1:30 minutos
Ejemplo ubicado en documentos generales: https://drive.google.com/drive/u/1/folders/1YJKs6nlr1vlISodCUA1m3dx2MpJjtEOQ </t>
    </r>
  </si>
  <si>
    <t xml:space="preserve">PROYECTOS </t>
  </si>
  <si>
    <t>PROYECTO #1</t>
  </si>
  <si>
    <t>PROYECTO #2</t>
  </si>
  <si>
    <t>PROYECTO #3</t>
  </si>
  <si>
    <t>PROYECTO #4</t>
  </si>
  <si>
    <r>
      <rPr>
        <rFont val="Arial"/>
        <color theme="1"/>
        <sz val="12.0"/>
      </rPr>
      <t xml:space="preserve">  Diligenciar el link </t>
    </r>
    <r>
      <rPr>
        <rFont val="Arial"/>
        <b/>
        <color theme="1"/>
        <sz val="12.0"/>
      </rPr>
      <t>Solicitud de pieza comunicacional</t>
    </r>
    <r>
      <rPr>
        <rFont val="Arial"/>
        <color theme="1"/>
        <sz val="12.0"/>
      </rPr>
      <t xml:space="preserve">, el cual a su vez, debe incluir el link del </t>
    </r>
    <r>
      <rPr>
        <rFont val="Arial"/>
        <b/>
        <color theme="1"/>
        <sz val="12.0"/>
      </rPr>
      <t xml:space="preserve">formulario de inscripción </t>
    </r>
    <r>
      <rPr>
        <rFont val="Arial"/>
        <color theme="1"/>
        <sz val="12.0"/>
      </rPr>
      <t xml:space="preserve">en editable para los usuarios maria_lopezr@cun.edu.co, proyeccion_social@cun.edu.co y liliana_villamizar@cun.edu.co
</t>
    </r>
    <r>
      <rPr>
        <rFont val="Arial"/>
        <b/>
        <color theme="1"/>
        <sz val="12.0"/>
      </rPr>
      <t>Proyecto 1</t>
    </r>
  </si>
  <si>
    <r>
      <rPr>
        <rFont val="Arial"/>
        <color rgb="FF000000"/>
        <sz val="12.0"/>
        <u/>
      </rPr>
      <t xml:space="preserve">Diligenciar formulario de solicitud de pieza comunicacional, el cual contiene a su vez, el link del formulario de inscripción en editable  y cargar una captura de pantalla del diligenciamiento de formulario.. 
</t>
    </r>
    <r>
      <rPr>
        <rFont val="Arial"/>
        <sz val="12.0"/>
      </rPr>
      <t xml:space="preserve">- Link de formulario: </t>
    </r>
    <r>
      <rPr>
        <rFont val="Arial"/>
        <color rgb="FF1155CC"/>
        <sz val="12.0"/>
        <u/>
      </rPr>
      <t>https://forms.gle/fWBhN7Ttu7YBM1UL8</t>
    </r>
    <r>
      <rPr>
        <rFont val="Arial"/>
        <sz val="12.0"/>
      </rPr>
      <t xml:space="preserve"> 
- Link carpeta: </t>
    </r>
    <r>
      <rPr>
        <rFont val="Arial"/>
        <color rgb="FF1155CC"/>
        <sz val="12.0"/>
        <u/>
      </rPr>
      <t>https://drive.google.com/drive/u/1/folders/1iEOBvCzYkdliL2H4d7TrZAkcIH2dLl8B</t>
    </r>
  </si>
  <si>
    <r>
      <rPr>
        <rFont val="Arial"/>
        <color theme="1"/>
        <sz val="12.0"/>
      </rPr>
      <t xml:space="preserve">  Diligenciar el link </t>
    </r>
    <r>
      <rPr>
        <rFont val="Arial"/>
        <b/>
        <color theme="1"/>
        <sz val="12.0"/>
      </rPr>
      <t>Solicitud de pieza comunicacional</t>
    </r>
    <r>
      <rPr>
        <rFont val="Arial"/>
        <color theme="1"/>
        <sz val="12.0"/>
      </rPr>
      <t xml:space="preserve">, el cual a su vez, debe incluir el link del </t>
    </r>
    <r>
      <rPr>
        <rFont val="Arial"/>
        <b/>
        <color theme="1"/>
        <sz val="12.0"/>
      </rPr>
      <t xml:space="preserve">formulario de inscripción </t>
    </r>
    <r>
      <rPr>
        <rFont val="Arial"/>
        <color theme="1"/>
        <sz val="12.0"/>
      </rPr>
      <t xml:space="preserve">en editable para los usuarios maria_lopezr@cun.edu.co, proyeccion_social@cun.edu.co y liliana_villamizar@cun.edu.co
</t>
    </r>
    <r>
      <rPr>
        <rFont val="Arial"/>
        <b/>
        <color theme="1"/>
        <sz val="12.0"/>
      </rPr>
      <t>Proyecto 2</t>
    </r>
  </si>
  <si>
    <r>
      <rPr>
        <rFont val="Arial"/>
        <color rgb="FF000000"/>
        <sz val="12.0"/>
        <u/>
      </rPr>
      <t xml:space="preserve">Diligenciar formulario de solicitud de pieza comunicacional, el cual contiene a su vez, el link del formulario de inscripción en editable  y cargar una captura de pantalla del diligenciamiento de formulario.. 
</t>
    </r>
    <r>
      <rPr>
        <rFont val="Arial"/>
        <sz val="12.0"/>
      </rPr>
      <t xml:space="preserve">- Link de formulario: </t>
    </r>
    <r>
      <rPr>
        <rFont val="Arial"/>
        <color rgb="FF1155CC"/>
        <sz val="12.0"/>
        <u/>
      </rPr>
      <t>https://forms.gle/fWBhN7Ttu7YBM1UL8</t>
    </r>
    <r>
      <rPr>
        <rFont val="Arial"/>
        <sz val="12.0"/>
      </rPr>
      <t xml:space="preserve"> 
- Link carpeta: </t>
    </r>
    <r>
      <rPr>
        <rFont val="Arial"/>
        <color rgb="FF1155CC"/>
        <sz val="12.0"/>
        <u/>
      </rPr>
      <t>https://drive.google.com/drive/u/1/folders/1iEOBvCzYkdliL2H4d7TrZAkcIH2dLl8B</t>
    </r>
  </si>
  <si>
    <r>
      <rPr>
        <rFont val="Arial"/>
        <color theme="1"/>
        <sz val="12.0"/>
      </rPr>
      <t xml:space="preserve">  Diligenciar el link </t>
    </r>
    <r>
      <rPr>
        <rFont val="Arial"/>
        <b/>
        <color theme="1"/>
        <sz val="12.0"/>
      </rPr>
      <t>Solicitud de pieza comunicacional</t>
    </r>
    <r>
      <rPr>
        <rFont val="Arial"/>
        <color theme="1"/>
        <sz val="12.0"/>
      </rPr>
      <t xml:space="preserve">, el cual a su vez, debe incluir el link del </t>
    </r>
    <r>
      <rPr>
        <rFont val="Arial"/>
        <b/>
        <color theme="1"/>
        <sz val="12.0"/>
      </rPr>
      <t xml:space="preserve">formulario de inscripción </t>
    </r>
    <r>
      <rPr>
        <rFont val="Arial"/>
        <color theme="1"/>
        <sz val="12.0"/>
      </rPr>
      <t xml:space="preserve">en editable para los usuarios maria_lopezr@cun.edu.co, proyeccion_social@cun.edu.co y liliana_villamizar@cun.edu.co
</t>
    </r>
    <r>
      <rPr>
        <rFont val="Arial"/>
        <b/>
        <color theme="1"/>
        <sz val="12.0"/>
      </rPr>
      <t>Proyecto 3</t>
    </r>
  </si>
  <si>
    <r>
      <rPr>
        <rFont val="Arial"/>
        <color rgb="FF000000"/>
        <sz val="12.0"/>
        <u/>
      </rPr>
      <t xml:space="preserve">Diligenciar formulario de solicitud de pieza comunicacional, el cual contiene a su vez, el link del formulario de inscripción en editable  y cargar una captura de pantalla del diligenciamiento de formulario.. 
</t>
    </r>
    <r>
      <rPr>
        <rFont val="Arial"/>
        <sz val="12.0"/>
      </rPr>
      <t xml:space="preserve">- Link de formulario: </t>
    </r>
    <r>
      <rPr>
        <rFont val="Arial"/>
        <color rgb="FF1155CC"/>
        <sz val="12.0"/>
        <u/>
      </rPr>
      <t>https://forms.gle/fWBhN7Ttu7YBM1UL8</t>
    </r>
    <r>
      <rPr>
        <rFont val="Arial"/>
        <sz val="12.0"/>
      </rPr>
      <t xml:space="preserve"> 
- Link carpeta: </t>
    </r>
    <r>
      <rPr>
        <rFont val="Arial"/>
        <color rgb="FF1155CC"/>
        <sz val="12.0"/>
        <u/>
      </rPr>
      <t>https://drive.google.com/drive/u/1/folders/1iEOBvCzYkdliL2H4d7TrZAkcIH2dLl8B</t>
    </r>
  </si>
  <si>
    <r>
      <rPr>
        <rFont val="Arial"/>
        <color theme="1"/>
        <sz val="12.0"/>
      </rPr>
      <t xml:space="preserve">  Diligenciar el link </t>
    </r>
    <r>
      <rPr>
        <rFont val="Arial"/>
        <b/>
        <color theme="1"/>
        <sz val="12.0"/>
      </rPr>
      <t>Solicitud de pieza comunicacional</t>
    </r>
    <r>
      <rPr>
        <rFont val="Arial"/>
        <color theme="1"/>
        <sz val="12.0"/>
      </rPr>
      <t xml:space="preserve">, el cual a su vez, debe incluir el link del </t>
    </r>
    <r>
      <rPr>
        <rFont val="Arial"/>
        <b/>
        <color theme="1"/>
        <sz val="12.0"/>
      </rPr>
      <t xml:space="preserve">formulario de inscripción </t>
    </r>
    <r>
      <rPr>
        <rFont val="Arial"/>
        <color theme="1"/>
        <sz val="12.0"/>
      </rPr>
      <t xml:space="preserve">en editable para los usuarios maria_lopezr@cun.edu.co, proyeccion_social@cun.edu.co y liliana_villamizar@cun.edu.co
</t>
    </r>
    <r>
      <rPr>
        <rFont val="Arial"/>
        <b/>
        <color theme="1"/>
        <sz val="12.0"/>
      </rPr>
      <t>Proyecto 4</t>
    </r>
  </si>
  <si>
    <r>
      <rPr>
        <rFont val="Arial"/>
        <color rgb="FF000000"/>
        <sz val="12.0"/>
        <u/>
      </rPr>
      <t xml:space="preserve">Diligenciar formulario de solicitud de pieza comunicacional, el cual contiene a su vez, el link del formulario de inscripción en editable  y cargar una captura de pantalla del diligenciamiento de formulario.. 
</t>
    </r>
    <r>
      <rPr>
        <rFont val="Arial"/>
        <sz val="12.0"/>
      </rPr>
      <t xml:space="preserve">- Link de formulario: </t>
    </r>
    <r>
      <rPr>
        <rFont val="Arial"/>
        <color rgb="FF1155CC"/>
        <sz val="12.0"/>
        <u/>
      </rPr>
      <t>https://forms.gle/fWBhN7Ttu7YBM1UL8</t>
    </r>
    <r>
      <rPr>
        <rFont val="Arial"/>
        <sz val="12.0"/>
      </rPr>
      <t xml:space="preserve"> 
- Link carpeta: </t>
    </r>
    <r>
      <rPr>
        <rFont val="Arial"/>
        <color rgb="FF1155CC"/>
        <sz val="12.0"/>
        <u/>
      </rPr>
      <t>https://drive.google.com/drive/u/1/folders/1iEOBvCzYkdliL2H4d7TrZAkcIH2dLl8B</t>
    </r>
  </si>
  <si>
    <r>
      <rPr>
        <rFont val="Arial"/>
        <color theme="1"/>
        <sz val="12.0"/>
      </rPr>
      <t xml:space="preserve">Elaborar la </t>
    </r>
    <r>
      <rPr>
        <rFont val="Arial"/>
        <b/>
        <color theme="1"/>
        <sz val="12.0"/>
      </rPr>
      <t>Medición de entendimiento</t>
    </r>
    <r>
      <rPr>
        <rFont val="Arial"/>
        <color theme="1"/>
        <sz val="12.0"/>
      </rPr>
      <t xml:space="preserve"> del proyecto para revisión y aprobación
</t>
    </r>
    <r>
      <rPr>
        <rFont val="Arial"/>
        <b/>
        <color theme="1"/>
        <sz val="12.0"/>
      </rPr>
      <t xml:space="preserve">Proyecto 1 </t>
    </r>
  </si>
  <si>
    <r>
      <rPr>
        <rFont val="Arial"/>
        <b/>
        <color rgb="FF000000"/>
        <sz val="12.0"/>
        <u/>
      </rPr>
      <t>Proyecto virtual</t>
    </r>
    <r>
      <rPr>
        <rFont val="Arial"/>
        <color rgb="FF000000"/>
        <sz val="12.0"/>
        <u/>
      </rPr>
      <t xml:space="preserve">: Cargar link del formulario de medición de entendimiento
</t>
    </r>
    <r>
      <rPr>
        <rFont val="Arial"/>
        <b/>
        <color rgb="FF000000"/>
        <sz val="12.0"/>
        <u/>
      </rPr>
      <t xml:space="preserve">Proyecto presencial: </t>
    </r>
    <r>
      <rPr>
        <rFont val="Arial"/>
        <color rgb="FF000000"/>
        <sz val="12.0"/>
        <u/>
      </rPr>
      <t xml:space="preserve">Cargar formato en Word de medición de entendimiento
Link ejemplo ubicado en la carpeta Documentos Generales - Medición de entendimiento: 
</t>
    </r>
    <r>
      <rPr>
        <rFont val="Arial"/>
        <color rgb="FF1155CC"/>
        <sz val="12.0"/>
        <u/>
      </rPr>
      <t>https://drive.google.com/drive/u/2/folders/1EuSbDn-kvjdex-Vsho4hV2hTxg_eKV-C</t>
    </r>
  </si>
  <si>
    <r>
      <rPr>
        <rFont val="Arial"/>
        <color theme="1"/>
        <sz val="12.0"/>
      </rPr>
      <t xml:space="preserve">Elaborar la </t>
    </r>
    <r>
      <rPr>
        <rFont val="Arial"/>
        <b/>
        <color theme="1"/>
        <sz val="12.0"/>
      </rPr>
      <t>Medición de entendimiento</t>
    </r>
    <r>
      <rPr>
        <rFont val="Arial"/>
        <color theme="1"/>
        <sz val="12.0"/>
      </rPr>
      <t xml:space="preserve"> del proyecto para revisión y aprobación
</t>
    </r>
    <r>
      <rPr>
        <rFont val="Arial"/>
        <b/>
        <color theme="1"/>
        <sz val="12.0"/>
      </rPr>
      <t>Proyecto 2</t>
    </r>
  </si>
  <si>
    <r>
      <rPr>
        <rFont val="Arial"/>
        <b/>
        <color rgb="FF000000"/>
        <sz val="12.0"/>
        <u/>
      </rPr>
      <t>Proyecto virtual</t>
    </r>
    <r>
      <rPr>
        <rFont val="Arial"/>
        <color rgb="FF000000"/>
        <sz val="12.0"/>
        <u/>
      </rPr>
      <t xml:space="preserve">: Cargar link del formulario de medición de entendimiento
</t>
    </r>
    <r>
      <rPr>
        <rFont val="Arial"/>
        <b/>
        <color rgb="FF000000"/>
        <sz val="12.0"/>
        <u/>
      </rPr>
      <t xml:space="preserve">Proyecto presencial: </t>
    </r>
    <r>
      <rPr>
        <rFont val="Arial"/>
        <color rgb="FF000000"/>
        <sz val="12.0"/>
        <u/>
      </rPr>
      <t xml:space="preserve">Cargar formato en Word de medición de entendimiento
Link ejemplo ubicado en la carpeta Documentos Generales - Medición de entendimiento: 
</t>
    </r>
    <r>
      <rPr>
        <rFont val="Arial"/>
        <color rgb="FF1155CC"/>
        <sz val="12.0"/>
        <u/>
      </rPr>
      <t>https://drive.google.com/drive/u/2/folders/1EuSbDn-kvjdex-Vsho4hV2hTxg_eKV-C</t>
    </r>
  </si>
  <si>
    <r>
      <rPr>
        <rFont val="Arial"/>
        <color theme="1"/>
        <sz val="12.0"/>
      </rPr>
      <t xml:space="preserve">Elaborar la </t>
    </r>
    <r>
      <rPr>
        <rFont val="Arial"/>
        <b/>
        <color theme="1"/>
        <sz val="12.0"/>
      </rPr>
      <t>Medición de entendimiento</t>
    </r>
    <r>
      <rPr>
        <rFont val="Arial"/>
        <color theme="1"/>
        <sz val="12.0"/>
      </rPr>
      <t xml:space="preserve"> del proyecto para revisión y aprobación
</t>
    </r>
    <r>
      <rPr>
        <rFont val="Arial"/>
        <b/>
        <color theme="1"/>
        <sz val="12.0"/>
      </rPr>
      <t>Proyecto 3</t>
    </r>
  </si>
  <si>
    <r>
      <rPr>
        <rFont val="Arial"/>
        <b/>
        <color rgb="FF000000"/>
        <sz val="12.0"/>
        <u/>
      </rPr>
      <t>Proyecto virtual</t>
    </r>
    <r>
      <rPr>
        <rFont val="Arial"/>
        <color rgb="FF000000"/>
        <sz val="12.0"/>
        <u/>
      </rPr>
      <t xml:space="preserve">: Cargar link del formulario de medición de entendimiento
</t>
    </r>
    <r>
      <rPr>
        <rFont val="Arial"/>
        <b/>
        <color rgb="FF000000"/>
        <sz val="12.0"/>
        <u/>
      </rPr>
      <t xml:space="preserve">Proyecto presencial: </t>
    </r>
    <r>
      <rPr>
        <rFont val="Arial"/>
        <color rgb="FF000000"/>
        <sz val="12.0"/>
        <u/>
      </rPr>
      <t xml:space="preserve">Cargar formato en Word de medición de entendimiento
Link ejemplo ubicado en la carpeta Documentos Generales - Medición de entendimiento: 
</t>
    </r>
    <r>
      <rPr>
        <rFont val="Arial"/>
        <color rgb="FF1155CC"/>
        <sz val="12.0"/>
        <u/>
      </rPr>
      <t>https://drive.google.com/drive/u/2/folders/1EuSbDn-kvjdex-Vsho4hV2hTxg_eKV-C</t>
    </r>
  </si>
  <si>
    <r>
      <rPr>
        <rFont val="Arial"/>
        <color theme="1"/>
        <sz val="12.0"/>
      </rPr>
      <t xml:space="preserve">Elaborar la </t>
    </r>
    <r>
      <rPr>
        <rFont val="Arial"/>
        <b/>
        <color theme="1"/>
        <sz val="12.0"/>
      </rPr>
      <t>Medición de entendimiento</t>
    </r>
    <r>
      <rPr>
        <rFont val="Arial"/>
        <color theme="1"/>
        <sz val="12.0"/>
      </rPr>
      <t xml:space="preserve"> del proyecto para revisión y aprobación
</t>
    </r>
    <r>
      <rPr>
        <rFont val="Arial"/>
        <b/>
        <color theme="1"/>
        <sz val="12.0"/>
      </rPr>
      <t>Proyecto 4</t>
    </r>
  </si>
  <si>
    <r>
      <rPr>
        <rFont val="Arial"/>
        <b/>
        <color rgb="FF000000"/>
        <sz val="12.0"/>
        <u/>
      </rPr>
      <t>Proyecto virtual</t>
    </r>
    <r>
      <rPr>
        <rFont val="Arial"/>
        <color rgb="FF000000"/>
        <sz val="12.0"/>
        <u/>
      </rPr>
      <t xml:space="preserve">: Cargar link del formulario de medición de entendimiento
</t>
    </r>
    <r>
      <rPr>
        <rFont val="Arial"/>
        <b/>
        <color rgb="FF000000"/>
        <sz val="12.0"/>
        <u/>
      </rPr>
      <t xml:space="preserve">Proyecto presencial: </t>
    </r>
    <r>
      <rPr>
        <rFont val="Arial"/>
        <color rgb="FF000000"/>
        <sz val="12.0"/>
        <u/>
      </rPr>
      <t xml:space="preserve">Cargar formato en Word de medición de entendimiento
Link ejemplo ubicado en la carpeta Documentos Generales - Medición de entendimiento: 
</t>
    </r>
    <r>
      <rPr>
        <rFont val="Arial"/>
        <color rgb="FF1155CC"/>
        <sz val="12.0"/>
        <u/>
      </rPr>
      <t>https://drive.google.com/drive/u/2/folders/1EuSbDn-kvjdex-Vsho4hV2hTxg_eKV-C</t>
    </r>
  </si>
  <si>
    <r>
      <rPr>
        <rFont val="Arial"/>
        <color theme="1"/>
        <sz val="12.0"/>
      </rPr>
      <t xml:space="preserve">Elaborar la </t>
    </r>
    <r>
      <rPr>
        <rFont val="Arial"/>
        <b/>
        <color theme="1"/>
        <sz val="12.0"/>
      </rPr>
      <t xml:space="preserve">Evaluación de satisfacción </t>
    </r>
    <r>
      <rPr>
        <rFont val="Arial"/>
        <color theme="1"/>
        <sz val="12.0"/>
      </rPr>
      <t xml:space="preserve">para revisión y aprobación
</t>
    </r>
    <r>
      <rPr>
        <rFont val="Arial"/>
        <b/>
        <color theme="1"/>
        <sz val="12.0"/>
      </rPr>
      <t>Proyecto 1</t>
    </r>
  </si>
  <si>
    <r>
      <rPr>
        <rFont val="Arial"/>
        <b/>
        <color rgb="FF467886"/>
        <sz val="12.0"/>
        <u/>
      </rPr>
      <t>Proyecto presencial</t>
    </r>
    <r>
      <rPr>
        <rFont val="Arial"/>
        <color rgb="FF467886"/>
        <sz val="12.0"/>
        <u/>
      </rPr>
      <t xml:space="preserve">: Imprimir formato en Word con preguntas de Evaluación de satisfacción
</t>
    </r>
    <r>
      <rPr>
        <rFont val="Arial"/>
        <b/>
        <color rgb="FF467886"/>
        <sz val="12.0"/>
        <u/>
      </rPr>
      <t xml:space="preserve">Proyecto virtual: </t>
    </r>
    <r>
      <rPr>
        <rFont val="Arial"/>
        <color rgb="FF467886"/>
        <sz val="12.0"/>
        <u/>
      </rPr>
      <t xml:space="preserve">Duplicar el formulario de Google forms con preguntas de Evaluación de satisfacción 
Link formatos ejemplo ubicado en la carpeta Documentos Generales - Evaluación de satisfacción: </t>
    </r>
    <r>
      <rPr>
        <rFont val="Arial"/>
        <color rgb="FF1155CC"/>
        <sz val="12.0"/>
        <u/>
      </rPr>
      <t>https://drive.google.com/drive/folders/1ZKZXUHSSjABD_igmbHl6CluGLmMPah3a?usp=drive_link</t>
    </r>
  </si>
  <si>
    <r>
      <rPr>
        <rFont val="Arial"/>
        <color theme="1"/>
        <sz val="12.0"/>
      </rPr>
      <t xml:space="preserve">Elaborar la </t>
    </r>
    <r>
      <rPr>
        <rFont val="Arial"/>
        <b/>
        <color theme="1"/>
        <sz val="12.0"/>
      </rPr>
      <t xml:space="preserve">Evaluación de satisfacción </t>
    </r>
    <r>
      <rPr>
        <rFont val="Arial"/>
        <color theme="1"/>
        <sz val="12.0"/>
      </rPr>
      <t xml:space="preserve">para revisión y aprobación
</t>
    </r>
    <r>
      <rPr>
        <rFont val="Arial"/>
        <b/>
        <color theme="1"/>
        <sz val="12.0"/>
      </rPr>
      <t>Proyecto 2</t>
    </r>
  </si>
  <si>
    <r>
      <rPr>
        <rFont val="Arial"/>
        <b/>
        <color rgb="FF467886"/>
        <sz val="12.0"/>
        <u/>
      </rPr>
      <t>Proyecto presencial</t>
    </r>
    <r>
      <rPr>
        <rFont val="Arial"/>
        <color rgb="FF467886"/>
        <sz val="12.0"/>
        <u/>
      </rPr>
      <t xml:space="preserve">: Imprimir formato en Word con preguntas de Evaluación de satisfacción
</t>
    </r>
    <r>
      <rPr>
        <rFont val="Arial"/>
        <b/>
        <color rgb="FF467886"/>
        <sz val="12.0"/>
        <u/>
      </rPr>
      <t xml:space="preserve">Proyecto virtual: </t>
    </r>
    <r>
      <rPr>
        <rFont val="Arial"/>
        <color rgb="FF467886"/>
        <sz val="12.0"/>
        <u/>
      </rPr>
      <t xml:space="preserve">Duplicar el formulario de Google forms con preguntas de Evaluación de satisfacción 
Link formatos ejemplo ubicado en la carpeta Documentos Generales - Evaluación de satisfacción: </t>
    </r>
    <r>
      <rPr>
        <rFont val="Arial"/>
        <color rgb="FF1155CC"/>
        <sz val="12.0"/>
        <u/>
      </rPr>
      <t>https://drive.google.com/drive/folders/1ZKZXUHSSjABD_igmbHl6CluGLmMPah3a?usp=drive_link</t>
    </r>
  </si>
  <si>
    <r>
      <rPr>
        <rFont val="Arial"/>
        <color theme="1"/>
        <sz val="12.0"/>
      </rPr>
      <t xml:space="preserve">Elaborar la </t>
    </r>
    <r>
      <rPr>
        <rFont val="Arial"/>
        <b/>
        <color theme="1"/>
        <sz val="12.0"/>
      </rPr>
      <t xml:space="preserve">Evaluación de satisfacción </t>
    </r>
    <r>
      <rPr>
        <rFont val="Arial"/>
        <color theme="1"/>
        <sz val="12.0"/>
      </rPr>
      <t xml:space="preserve">para revisión y aprobación
</t>
    </r>
    <r>
      <rPr>
        <rFont val="Arial"/>
        <b/>
        <color theme="1"/>
        <sz val="12.0"/>
      </rPr>
      <t>Proyecto 3</t>
    </r>
  </si>
  <si>
    <r>
      <rPr>
        <rFont val="Arial"/>
        <b/>
        <color rgb="FF467886"/>
        <sz val="12.0"/>
        <u/>
      </rPr>
      <t>Proyecto presencial</t>
    </r>
    <r>
      <rPr>
        <rFont val="Arial"/>
        <color rgb="FF467886"/>
        <sz val="12.0"/>
        <u/>
      </rPr>
      <t xml:space="preserve">: Imprimir formato en Word con preguntas de Evaluación de satisfacción
</t>
    </r>
    <r>
      <rPr>
        <rFont val="Arial"/>
        <b/>
        <color rgb="FF467886"/>
        <sz val="12.0"/>
        <u/>
      </rPr>
      <t xml:space="preserve">Proyecto virtual: </t>
    </r>
    <r>
      <rPr>
        <rFont val="Arial"/>
        <color rgb="FF467886"/>
        <sz val="12.0"/>
        <u/>
      </rPr>
      <t xml:space="preserve">Duplicar el formulario de Google forms con preguntas de Evaluación de satisfacción 
Link formatos ejemplo ubicado en la carpeta Documentos Generales - Evaluación de satisfacción: </t>
    </r>
    <r>
      <rPr>
        <rFont val="Arial"/>
        <color rgb="FF1155CC"/>
        <sz val="12.0"/>
        <u/>
      </rPr>
      <t>https://drive.google.com/drive/folders/1ZKZXUHSSjABD_igmbHl6CluGLmMPah3a?usp=drive_link</t>
    </r>
  </si>
  <si>
    <r>
      <rPr>
        <rFont val="Arial"/>
        <color theme="1"/>
        <sz val="12.0"/>
      </rPr>
      <t xml:space="preserve">Elaborar la </t>
    </r>
    <r>
      <rPr>
        <rFont val="Arial"/>
        <b/>
        <color theme="1"/>
        <sz val="12.0"/>
      </rPr>
      <t xml:space="preserve">Evaluación de satisfacción </t>
    </r>
    <r>
      <rPr>
        <rFont val="Arial"/>
        <color theme="1"/>
        <sz val="12.0"/>
      </rPr>
      <t xml:space="preserve">para revisión y aprobación
</t>
    </r>
    <r>
      <rPr>
        <rFont val="Arial"/>
        <b/>
        <color theme="1"/>
        <sz val="12.0"/>
      </rPr>
      <t>Proyecto 4</t>
    </r>
  </si>
  <si>
    <r>
      <rPr>
        <rFont val="Arial"/>
        <b/>
        <color rgb="FF467886"/>
        <sz val="12.0"/>
        <u/>
      </rPr>
      <t>Proyecto presencial</t>
    </r>
    <r>
      <rPr>
        <rFont val="Arial"/>
        <color rgb="FF467886"/>
        <sz val="12.0"/>
        <u/>
      </rPr>
      <t xml:space="preserve">: Imprimir formato en Word con preguntas de Evaluación de satisfacción
</t>
    </r>
    <r>
      <rPr>
        <rFont val="Arial"/>
        <b/>
        <color rgb="FF467886"/>
        <sz val="12.0"/>
        <u/>
      </rPr>
      <t xml:space="preserve">Proyecto virtual: </t>
    </r>
    <r>
      <rPr>
        <rFont val="Arial"/>
        <color rgb="FF467886"/>
        <sz val="12.0"/>
        <u/>
      </rPr>
      <t xml:space="preserve">Duplicar el formulario de Google forms con preguntas de Evaluación de satisfacción 
Link formatos ejemplo ubicado en la carpeta Documentos Generales - Evaluación de satisfacción: </t>
    </r>
    <r>
      <rPr>
        <rFont val="Arial"/>
        <color rgb="FF1155CC"/>
        <sz val="12.0"/>
        <u/>
      </rPr>
      <t>https://drive.google.com/drive/folders/1ZKZXUHSSjABD_igmbHl6CluGLmMPah3a?usp=drive_link</t>
    </r>
  </si>
  <si>
    <r>
      <rPr>
        <rFont val="Arial"/>
        <color theme="1"/>
        <sz val="12.0"/>
      </rPr>
      <t>Elaboración de contenidos - Sesión  1-</t>
    </r>
    <r>
      <rPr>
        <rFont val="Arial"/>
        <b/>
        <color theme="1"/>
        <sz val="12.0"/>
      </rPr>
      <t xml:space="preserve"> Proyecto1</t>
    </r>
  </si>
  <si>
    <r>
      <rPr>
        <rFont val="Arial"/>
        <color rgb="FF000000"/>
        <sz val="12.0"/>
        <u/>
      </rPr>
      <t>Cargar presentación en PPT de la sesión 1   del proyecto. Usar formato de Proyección Social</t>
    </r>
    <r>
      <rPr>
        <rFont val="Arial"/>
        <color rgb="FF1155CC"/>
        <sz val="12.0"/>
        <u/>
      </rPr>
      <t xml:space="preserve"> 
https://drive.google.com/drive/u/2/folders/10mZf0XSY6egfcaL3GVlAZutC3Yxmlya0</t>
    </r>
  </si>
  <si>
    <r>
      <rPr>
        <rFont val="Arial"/>
        <color theme="1"/>
        <sz val="12.0"/>
      </rPr>
      <t>Elaboración de contenidos - Sesión  1-</t>
    </r>
    <r>
      <rPr>
        <rFont val="Arial"/>
        <b/>
        <color theme="1"/>
        <sz val="12.0"/>
      </rPr>
      <t xml:space="preserve"> Proyecto 2</t>
    </r>
  </si>
  <si>
    <r>
      <rPr>
        <rFont val="Arial"/>
        <color rgb="FF000000"/>
        <sz val="12.0"/>
        <u/>
      </rPr>
      <t>Cargar presentación en PPT de la sesión 1   del proyecto. Usar formato de Proyección Social</t>
    </r>
    <r>
      <rPr>
        <rFont val="Arial"/>
        <color rgb="FF1155CC"/>
        <sz val="12.0"/>
        <u/>
      </rPr>
      <t xml:space="preserve"> 
https://drive.google.com/drive/u/2/folders/10mZf0XSY6egfcaL3GVlAZutC3Yxmlya0</t>
    </r>
  </si>
  <si>
    <r>
      <rPr>
        <rFont val="Arial"/>
        <color theme="1"/>
        <sz val="12.0"/>
      </rPr>
      <t>Elaboración de contenidos - Sesión  1-</t>
    </r>
    <r>
      <rPr>
        <rFont val="Arial"/>
        <b/>
        <color theme="1"/>
        <sz val="12.0"/>
      </rPr>
      <t xml:space="preserve"> Proyecto 3</t>
    </r>
  </si>
  <si>
    <r>
      <rPr>
        <rFont val="Arial"/>
        <color rgb="FF000000"/>
        <sz val="12.0"/>
        <u/>
      </rPr>
      <t>Cargar presentación en PPT de la sesión 1   del proyecto. Usar formato de Proyección Social</t>
    </r>
    <r>
      <rPr>
        <rFont val="Arial"/>
        <color rgb="FF1155CC"/>
        <sz val="12.0"/>
        <u/>
      </rPr>
      <t xml:space="preserve"> 
https://drive.google.com/drive/u/2/folders/10mZf0XSY6egfcaL3GVlAZutC3Yxmlya0</t>
    </r>
  </si>
  <si>
    <r>
      <rPr>
        <rFont val="Arial"/>
        <color theme="1"/>
        <sz val="12.0"/>
      </rPr>
      <t>Elaboración de contenidos - Sesión  1-</t>
    </r>
    <r>
      <rPr>
        <rFont val="Arial"/>
        <b/>
        <color theme="1"/>
        <sz val="12.0"/>
      </rPr>
      <t xml:space="preserve"> Proyecto 4</t>
    </r>
  </si>
  <si>
    <r>
      <rPr>
        <rFont val="Arial"/>
        <color rgb="FF000000"/>
        <sz val="12.0"/>
        <u/>
      </rPr>
      <t>Cargar presentación en PPT de la sesión 1   del proyecto. Usar formato de Proyección Social</t>
    </r>
    <r>
      <rPr>
        <rFont val="Arial"/>
        <color rgb="FF1155CC"/>
        <sz val="12.0"/>
        <u/>
      </rPr>
      <t xml:space="preserve"> 
https://drive.google.com/drive/u/2/folders/10mZf0XSY6egfcaL3GVlAZutC3Yxmlya0</t>
    </r>
  </si>
  <si>
    <r>
      <rPr>
        <rFont val="Arial"/>
        <color theme="1"/>
        <sz val="12.0"/>
      </rPr>
      <t>Elaboración de contenidos - Sesión  2-</t>
    </r>
    <r>
      <rPr>
        <rFont val="Arial"/>
        <b/>
        <color theme="1"/>
        <sz val="12.0"/>
      </rPr>
      <t xml:space="preserve"> Proyecto1</t>
    </r>
  </si>
  <si>
    <r>
      <rPr>
        <rFont val="Arial"/>
        <color rgb="FF000000"/>
        <sz val="12.0"/>
        <u/>
      </rPr>
      <t xml:space="preserve">Cargar presentación en PPT de la sesión  2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</si>
  <si>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2-</t>
    </r>
    <r>
      <rPr>
        <rFont val="Arial"/>
        <b/>
        <color theme="1"/>
        <sz val="12.0"/>
      </rPr>
      <t xml:space="preserve"> Proyecto 2</t>
    </r>
  </si>
  <si>
    <r>
      <rPr>
        <rFont val="Arial"/>
        <color rgb="FF000000"/>
        <sz val="12.0"/>
        <u/>
      </rPr>
      <t xml:space="preserve">Cargar presentación en PPT de la sesión  2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</si>
  <si>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2-</t>
    </r>
    <r>
      <rPr>
        <rFont val="Arial"/>
        <b/>
        <color theme="1"/>
        <sz val="12.0"/>
      </rPr>
      <t xml:space="preserve"> Proyecto 3</t>
    </r>
  </si>
  <si>
    <r>
      <rPr>
        <rFont val="Arial"/>
        <color rgb="FF000000"/>
        <sz val="12.0"/>
        <u/>
      </rPr>
      <t xml:space="preserve">Cargar presentación en PPT de la sesión  2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</si>
  <si>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2-</t>
    </r>
    <r>
      <rPr>
        <rFont val="Arial"/>
        <b/>
        <color theme="1"/>
        <sz val="12.0"/>
      </rPr>
      <t xml:space="preserve"> Proyecto 4</t>
    </r>
  </si>
  <si>
    <r>
      <rPr>
        <rFont val="Arial"/>
        <color rgb="FF000000"/>
        <sz val="12.0"/>
        <u/>
      </rPr>
      <t xml:space="preserve">Cargar presentación en PPT de la sesión  2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</si>
  <si>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3-</t>
    </r>
    <r>
      <rPr>
        <rFont val="Arial"/>
        <b/>
        <color theme="1"/>
        <sz val="12.0"/>
      </rPr>
      <t xml:space="preserve"> Proyecto1</t>
    </r>
  </si>
  <si>
    <r>
      <rPr>
        <rFont val="Arial"/>
        <color rgb="FF000000"/>
        <sz val="12.0"/>
        <u/>
      </rPr>
      <t xml:space="preserve">Cargar presentación en PPT de la sesión 3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</si>
  <si>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3-</t>
    </r>
    <r>
      <rPr>
        <rFont val="Arial"/>
        <b/>
        <color theme="1"/>
        <sz val="12.0"/>
      </rPr>
      <t xml:space="preserve"> Proyecto 2</t>
    </r>
  </si>
  <si>
    <r>
      <rPr>
        <rFont val="Arial"/>
        <color rgb="FF000000"/>
        <sz val="12.0"/>
        <u/>
      </rPr>
      <t xml:space="preserve">Cargar presentación en PPT de la sesión 3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</si>
  <si>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3-</t>
    </r>
    <r>
      <rPr>
        <rFont val="Arial"/>
        <b/>
        <color theme="1"/>
        <sz val="12.0"/>
      </rPr>
      <t xml:space="preserve"> Proyecto 3</t>
    </r>
  </si>
  <si>
    <r>
      <rPr>
        <rFont val="Arial"/>
        <color rgb="FF000000"/>
        <sz val="12.0"/>
        <u/>
      </rPr>
      <t xml:space="preserve">Cargar presentación en PPT de la sesión 3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</si>
  <si>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3-</t>
    </r>
    <r>
      <rPr>
        <rFont val="Arial"/>
        <b/>
        <color theme="1"/>
        <sz val="12.0"/>
      </rPr>
      <t xml:space="preserve"> Proyecto 4</t>
    </r>
  </si>
  <si>
    <r>
      <rPr>
        <rFont val="Arial"/>
        <color rgb="FF000000"/>
        <sz val="12.0"/>
        <u/>
      </rPr>
      <t xml:space="preserve">Cargar presentación en PPT de la sesión 3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</si>
  <si>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4-</t>
    </r>
    <r>
      <rPr>
        <rFont val="Arial"/>
        <b/>
        <color theme="1"/>
        <sz val="12.0"/>
      </rPr>
      <t xml:space="preserve"> Proyecto1</t>
    </r>
  </si>
  <si>
    <r>
      <rPr>
        <rFont val="Arial"/>
        <color rgb="FF434343"/>
        <sz val="12.0"/>
        <u/>
      </rPr>
      <t xml:space="preserve">Cargar presentación en PPT de la sesión 4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</si>
  <si>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4-</t>
    </r>
    <r>
      <rPr>
        <rFont val="Arial"/>
        <b/>
        <color theme="1"/>
        <sz val="12.0"/>
      </rPr>
      <t xml:space="preserve"> Proyecto 2</t>
    </r>
  </si>
  <si>
    <r>
      <rPr>
        <rFont val="Arial"/>
        <color rgb="FF434343"/>
        <sz val="12.0"/>
        <u/>
      </rPr>
      <t xml:space="preserve">Cargar presentación en PPT de la sesión 4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</si>
  <si>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4-</t>
    </r>
    <r>
      <rPr>
        <rFont val="Arial"/>
        <b/>
        <color theme="1"/>
        <sz val="12.0"/>
      </rPr>
      <t xml:space="preserve"> Proyecto 3</t>
    </r>
  </si>
  <si>
    <r>
      <rPr>
        <rFont val="Arial"/>
        <color rgb="FF434343"/>
        <sz val="12.0"/>
        <u/>
      </rPr>
      <t xml:space="preserve">Cargar presentación en PPT de la sesión 4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</si>
  <si>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4-</t>
    </r>
    <r>
      <rPr>
        <rFont val="Arial"/>
        <b/>
        <color theme="1"/>
        <sz val="12.0"/>
      </rPr>
      <t xml:space="preserve"> Proyecto 4</t>
    </r>
  </si>
  <si>
    <r>
      <rPr>
        <rFont val="Arial"/>
        <color rgb="FF434343"/>
        <sz val="12.0"/>
        <u/>
      </rPr>
      <t xml:space="preserve">Cargar presentación en PPT de la sesión 4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</si>
  <si>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5-</t>
    </r>
    <r>
      <rPr>
        <rFont val="Arial"/>
        <b/>
        <color theme="1"/>
        <sz val="12.0"/>
      </rPr>
      <t xml:space="preserve"> Proyecto1</t>
    </r>
  </si>
  <si>
    <r>
      <rPr>
        <rFont val="Arial"/>
        <color rgb="FF434343"/>
        <sz val="12.0"/>
        <u/>
      </rPr>
      <t xml:space="preserve">Cargar presentación en PPT de la sesión 5del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</si>
  <si>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5-</t>
    </r>
    <r>
      <rPr>
        <rFont val="Arial"/>
        <b/>
        <color theme="1"/>
        <sz val="12.0"/>
      </rPr>
      <t xml:space="preserve"> Proyecto 2</t>
    </r>
  </si>
  <si>
    <r>
      <rPr>
        <rFont val="Arial"/>
        <color rgb="FF434343"/>
        <sz val="12.0"/>
        <u/>
      </rPr>
      <t xml:space="preserve">Cargar presentación en PPT de la sesión 5del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</si>
  <si>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5-</t>
    </r>
    <r>
      <rPr>
        <rFont val="Arial"/>
        <b/>
        <color theme="1"/>
        <sz val="12.0"/>
      </rPr>
      <t xml:space="preserve"> Proyecto 3</t>
    </r>
  </si>
  <si>
    <r>
      <rPr>
        <rFont val="Arial"/>
        <color rgb="FF434343"/>
        <sz val="12.0"/>
        <u/>
      </rPr>
      <t xml:space="preserve">Cargar presentación en PPT de la sesión 5del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</si>
  <si>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5-</t>
    </r>
    <r>
      <rPr>
        <rFont val="Arial"/>
        <b/>
        <color theme="1"/>
        <sz val="12.0"/>
      </rPr>
      <t xml:space="preserve"> Proyecto 4</t>
    </r>
  </si>
  <si>
    <r>
      <rPr>
        <rFont val="Arial"/>
        <color rgb="FF434343"/>
        <sz val="12.0"/>
        <u/>
      </rPr>
      <t xml:space="preserve">Cargar presentación en PPT de la sesión 5del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</si>
  <si>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6-</t>
    </r>
    <r>
      <rPr>
        <rFont val="Arial"/>
        <b/>
        <color theme="1"/>
        <sz val="12.0"/>
      </rPr>
      <t xml:space="preserve"> Proyecto1</t>
    </r>
  </si>
  <si>
    <r>
      <rPr>
        <rFont val="Arial"/>
        <color rgb="FF000000"/>
        <sz val="12.0"/>
        <u/>
      </rPr>
      <t xml:space="preserve">Cargar presentación en PPT de la sesión 6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</si>
  <si>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6-</t>
    </r>
    <r>
      <rPr>
        <rFont val="Arial"/>
        <b/>
        <color theme="1"/>
        <sz val="12.0"/>
      </rPr>
      <t xml:space="preserve"> Proyecto 2</t>
    </r>
  </si>
  <si>
    <r>
      <rPr>
        <rFont val="Arial"/>
        <color rgb="FF000000"/>
        <sz val="12.0"/>
        <u/>
      </rPr>
      <t xml:space="preserve">Cargar presentación en PPT de la sesión 6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</si>
  <si>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6-</t>
    </r>
    <r>
      <rPr>
        <rFont val="Arial"/>
        <b/>
        <color theme="1"/>
        <sz val="12.0"/>
      </rPr>
      <t xml:space="preserve"> Proyecto 3</t>
    </r>
  </si>
  <si>
    <r>
      <rPr>
        <rFont val="Arial"/>
        <color rgb="FF000000"/>
        <sz val="12.0"/>
        <u/>
      </rPr>
      <t xml:space="preserve">Cargar presentación en PPT de la sesión 6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</si>
  <si>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6-</t>
    </r>
    <r>
      <rPr>
        <rFont val="Arial"/>
        <b/>
        <color theme="1"/>
        <sz val="12.0"/>
      </rPr>
      <t xml:space="preserve"> Proyecto 4</t>
    </r>
  </si>
  <si>
    <r>
      <rPr>
        <rFont val="Arial"/>
        <color rgb="FF000000"/>
        <sz val="12.0"/>
        <u/>
      </rPr>
      <t xml:space="preserve">Cargar presentación en PPT de la sesión 6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</si>
  <si>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7-</t>
    </r>
    <r>
      <rPr>
        <rFont val="Arial"/>
        <b/>
        <color theme="1"/>
        <sz val="12.0"/>
      </rPr>
      <t xml:space="preserve"> Proyecto1</t>
    </r>
  </si>
  <si>
    <r>
      <rPr>
        <rFont val="Arial"/>
        <color rgb="FF000000"/>
        <sz val="12.0"/>
        <u/>
      </rPr>
      <t xml:space="preserve">Cargar presentación en PPT de la sesión 7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</si>
  <si>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7-</t>
    </r>
    <r>
      <rPr>
        <rFont val="Arial"/>
        <b/>
        <color theme="1"/>
        <sz val="12.0"/>
      </rPr>
      <t xml:space="preserve"> Proyecto 2 </t>
    </r>
  </si>
  <si>
    <r>
      <rPr>
        <rFont val="Arial"/>
        <color rgb="FF000000"/>
        <sz val="12.0"/>
        <u/>
      </rPr>
      <t xml:space="preserve">Cargar presentación en PPT de la sesión 7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</si>
  <si>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7-</t>
    </r>
    <r>
      <rPr>
        <rFont val="Arial"/>
        <b/>
        <color theme="1"/>
        <sz val="12.0"/>
      </rPr>
      <t xml:space="preserve"> Proyecto 3</t>
    </r>
  </si>
  <si>
    <r>
      <rPr>
        <rFont val="Arial"/>
        <color rgb="FF000000"/>
        <sz val="12.0"/>
        <u/>
      </rPr>
      <t xml:space="preserve">Cargar presentación en PPT de la sesión 7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</si>
  <si>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7-</t>
    </r>
    <r>
      <rPr>
        <rFont val="Arial"/>
        <b/>
        <color theme="1"/>
        <sz val="12.0"/>
      </rPr>
      <t xml:space="preserve"> Proyecto 4</t>
    </r>
  </si>
  <si>
    <r>
      <rPr>
        <rFont val="Arial"/>
        <color rgb="FF000000"/>
        <sz val="12.0"/>
        <u/>
      </rPr>
      <t xml:space="preserve">Cargar presentación en PPT de la sesión 7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</si>
  <si>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8-</t>
    </r>
    <r>
      <rPr>
        <rFont val="Arial"/>
        <b/>
        <color theme="1"/>
        <sz val="12.0"/>
      </rPr>
      <t xml:space="preserve"> Proyecto1</t>
    </r>
  </si>
  <si>
    <r>
      <rPr>
        <rFont val="Arial"/>
        <color rgb="FF000000"/>
        <sz val="12.0"/>
        <u/>
      </rPr>
      <t xml:space="preserve">Cargar presentación en PPT de la sesión 8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</si>
  <si>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8-</t>
    </r>
    <r>
      <rPr>
        <rFont val="Arial"/>
        <b/>
        <color theme="1"/>
        <sz val="12.0"/>
      </rPr>
      <t xml:space="preserve"> Proyecto 2</t>
    </r>
  </si>
  <si>
    <r>
      <rPr>
        <rFont val="Arial"/>
        <color rgb="FF000000"/>
        <sz val="12.0"/>
        <u/>
      </rPr>
      <t xml:space="preserve">Cargar presentación en PPT de la sesión 8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</si>
  <si>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8-</t>
    </r>
    <r>
      <rPr>
        <rFont val="Arial"/>
        <b/>
        <color theme="1"/>
        <sz val="12.0"/>
      </rPr>
      <t xml:space="preserve"> Proyecto 3</t>
    </r>
  </si>
  <si>
    <r>
      <rPr>
        <rFont val="Arial"/>
        <color rgb="FF000000"/>
        <sz val="12.0"/>
        <u/>
      </rPr>
      <t xml:space="preserve">Cargar presentación en PPT de la sesión 8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</si>
  <si>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8-</t>
    </r>
    <r>
      <rPr>
        <rFont val="Arial"/>
        <b/>
        <color theme="1"/>
        <sz val="12.0"/>
      </rPr>
      <t xml:space="preserve"> Proyecto 4</t>
    </r>
  </si>
  <si>
    <r>
      <rPr>
        <rFont val="Arial"/>
        <color rgb="FF000000"/>
        <sz val="12.0"/>
        <u/>
      </rPr>
      <t xml:space="preserve">Cargar presentación en PPT de la sesión 8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</si>
  <si>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9-</t>
    </r>
    <r>
      <rPr>
        <rFont val="Arial"/>
        <b/>
        <color theme="1"/>
        <sz val="12.0"/>
      </rPr>
      <t xml:space="preserve"> Proyecto1</t>
    </r>
  </si>
  <si>
    <r>
      <rPr>
        <rFont val="Arial"/>
        <color rgb="FF000000"/>
        <sz val="12.0"/>
        <u/>
      </rPr>
      <t xml:space="preserve">Cargar presentación en PPT de la sesión 9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</si>
  <si>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9-</t>
    </r>
    <r>
      <rPr>
        <rFont val="Arial"/>
        <b/>
        <color theme="1"/>
        <sz val="12.0"/>
      </rPr>
      <t xml:space="preserve"> Proyecto 2</t>
    </r>
  </si>
  <si>
    <r>
      <rPr>
        <rFont val="Arial"/>
        <color rgb="FF000000"/>
        <sz val="12.0"/>
        <u/>
      </rPr>
      <t xml:space="preserve">Cargar presentación en PPT de la sesión 9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</si>
  <si>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9-</t>
    </r>
    <r>
      <rPr>
        <rFont val="Arial"/>
        <b/>
        <color theme="1"/>
        <sz val="12.0"/>
      </rPr>
      <t xml:space="preserve"> Proyecto 3</t>
    </r>
  </si>
  <si>
    <r>
      <rPr>
        <rFont val="Arial"/>
        <color rgb="FF000000"/>
        <sz val="12.0"/>
        <u/>
      </rPr>
      <t xml:space="preserve">Cargar presentación en PPT de la sesión 9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</si>
  <si>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9-</t>
    </r>
    <r>
      <rPr>
        <rFont val="Arial"/>
        <b/>
        <color theme="1"/>
        <sz val="12.0"/>
      </rPr>
      <t xml:space="preserve"> Proyecto 4</t>
    </r>
  </si>
  <si>
    <r>
      <rPr>
        <rFont val="Arial"/>
        <color rgb="FF000000"/>
        <sz val="12.0"/>
        <u/>
      </rPr>
      <t xml:space="preserve">Cargar presentación en PPT de la sesión 9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</si>
  <si>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10-</t>
    </r>
    <r>
      <rPr>
        <rFont val="Arial"/>
        <b/>
        <color theme="1"/>
        <sz val="12.0"/>
      </rPr>
      <t xml:space="preserve"> Proyecto1</t>
    </r>
  </si>
  <si>
    <r>
      <rPr>
        <rFont val="Arial"/>
        <color rgb="FF000000"/>
        <sz val="12.0"/>
        <u/>
      </rPr>
      <t xml:space="preserve">Cargar presentación en PPT de la sesión 10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</si>
  <si>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10-</t>
    </r>
    <r>
      <rPr>
        <rFont val="Arial"/>
        <b/>
        <color theme="1"/>
        <sz val="12.0"/>
      </rPr>
      <t xml:space="preserve"> Proyecto 2</t>
    </r>
  </si>
  <si>
    <r>
      <rPr>
        <rFont val="Arial"/>
        <color rgb="FF000000"/>
        <sz val="12.0"/>
        <u/>
      </rPr>
      <t xml:space="preserve">Cargar presentación en PPT de la sesión 10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</si>
  <si>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10-</t>
    </r>
    <r>
      <rPr>
        <rFont val="Arial"/>
        <b/>
        <color theme="1"/>
        <sz val="12.0"/>
      </rPr>
      <t xml:space="preserve"> Proyecto3</t>
    </r>
  </si>
  <si>
    <r>
      <rPr>
        <rFont val="Arial"/>
        <color rgb="FF000000"/>
        <sz val="12.0"/>
        <u/>
      </rPr>
      <t xml:space="preserve">Cargar presentación en PPT de la sesión 10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</si>
  <si>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>Elaboración de contenidos - Sesión  10-</t>
    </r>
    <r>
      <rPr>
        <rFont val="Arial"/>
        <b/>
        <color theme="1"/>
        <sz val="12.0"/>
      </rPr>
      <t xml:space="preserve"> Proyecto 4</t>
    </r>
  </si>
  <si>
    <r>
      <rPr>
        <rFont val="Arial"/>
        <color rgb="FF000000"/>
        <sz val="12.0"/>
        <u/>
      </rPr>
      <t xml:space="preserve">Cargar presentación en PPT de la sesión 10 del proyecto. Usar formato de Proyección Social </t>
    </r>
    <r>
      <rPr>
        <rFont val="Arial"/>
        <color rgb="FF1155CC"/>
        <sz val="12.0"/>
        <u/>
      </rPr>
      <t xml:space="preserve">
https://drive.google.com/drive/u/2/folders/10mZf0XSY6egfcaL3GVlAZutC3Yxmlya0</t>
    </r>
  </si>
  <si>
    <r>
      <rPr>
        <rFont val="Arial"/>
        <color theme="1"/>
        <sz val="12.0"/>
      </rPr>
      <t xml:space="preserve">Elaborar la </t>
    </r>
    <r>
      <rPr>
        <rFont val="Arial"/>
        <b/>
        <color theme="1"/>
        <sz val="12.0"/>
      </rPr>
      <t>Nota concepto preliminar y presupuesto del Proyecto</t>
    </r>
    <r>
      <rPr>
        <rFont val="Arial"/>
        <color theme="1"/>
        <sz val="12.0"/>
      </rPr>
      <t xml:space="preserve"> para revisión y aprobación, con total de beneficiarios, participantes en la primera sesión o población proyectada en el plan de trabajo 
</t>
    </r>
    <r>
      <rPr>
        <rFont val="Arial"/>
        <b/>
        <color theme="1"/>
        <sz val="12.0"/>
      </rPr>
      <t>Proyecto 1</t>
    </r>
  </si>
  <si>
    <r>
      <rPr>
        <rFont val="Arial"/>
        <color rgb="FF000000"/>
        <sz val="12.0"/>
        <u/>
      </rPr>
      <t>Cargar en</t>
    </r>
    <r>
      <rPr>
        <rFont val="Arial"/>
        <b/>
        <color rgb="FF000000"/>
        <sz val="12.0"/>
        <u/>
      </rPr>
      <t xml:space="preserve"> formato Word </t>
    </r>
    <r>
      <rPr>
        <rFont val="Arial"/>
        <color rgb="FF000000"/>
        <sz val="12.0"/>
        <u/>
      </rPr>
      <t>la Nota concepto y el presupuesto en</t>
    </r>
    <r>
      <rPr>
        <rFont val="Arial"/>
        <b/>
        <color rgb="FF000000"/>
        <sz val="12.0"/>
        <u/>
      </rPr>
      <t xml:space="preserve"> formato Excel </t>
    </r>
    <r>
      <rPr>
        <rFont val="Arial"/>
        <color rgb="FF000000"/>
        <sz val="12.0"/>
        <u/>
      </rPr>
      <t xml:space="preserve">para revisión y aprobación
Link ejemplo ubicado en la carpeta Documentos Generales - Nota concepto y presupuesto:
</t>
    </r>
    <r>
      <rPr>
        <rFont val="Arial"/>
        <color rgb="FF1155CC"/>
        <sz val="12.0"/>
        <u/>
      </rPr>
      <t>https://drive.google.com/drive/u/2/folders/12lOrF5fZ7k3rT8TQui5iTTGRQi4iK30U</t>
    </r>
  </si>
  <si>
    <r>
      <rPr>
        <rFont val="Arial"/>
        <color theme="1"/>
        <sz val="12.0"/>
      </rPr>
      <t xml:space="preserve">Elaborar la </t>
    </r>
    <r>
      <rPr>
        <rFont val="Arial"/>
        <b/>
        <color theme="1"/>
        <sz val="12.0"/>
      </rPr>
      <t>Nota concepto preliminar y presupuesto del Proyecto</t>
    </r>
    <r>
      <rPr>
        <rFont val="Arial"/>
        <color theme="1"/>
        <sz val="12.0"/>
      </rPr>
      <t xml:space="preserve"> para revisión y aprobación, con total de beneficiarios, participantes en la primera sesión o población proyectada en el plan de trabajo 
</t>
    </r>
    <r>
      <rPr>
        <rFont val="Arial"/>
        <b/>
        <color theme="1"/>
        <sz val="12.0"/>
      </rPr>
      <t>Proyecto 2</t>
    </r>
  </si>
  <si>
    <r>
      <rPr>
        <rFont val="Arial"/>
        <color rgb="FF000000"/>
        <sz val="12.0"/>
        <u/>
      </rPr>
      <t>Cargar en</t>
    </r>
    <r>
      <rPr>
        <rFont val="Arial"/>
        <color rgb="FF000000"/>
        <sz val="12.0"/>
        <u/>
      </rPr>
      <t xml:space="preserve"> link de</t>
    </r>
    <r>
      <rPr>
        <rFont val="Arial"/>
        <b/>
        <color rgb="FF000000"/>
        <sz val="12.0"/>
        <u/>
      </rPr>
      <t xml:space="preserve"> formato Word </t>
    </r>
    <r>
      <rPr>
        <rFont val="Arial"/>
        <color rgb="FF000000"/>
        <sz val="12.0"/>
        <u/>
      </rPr>
      <t>la Nota concepto y el presupuesto en</t>
    </r>
    <r>
      <rPr>
        <rFont val="Arial"/>
        <b/>
        <color rgb="FF000000"/>
        <sz val="12.0"/>
        <u/>
      </rPr>
      <t xml:space="preserve"> formato Excel </t>
    </r>
    <r>
      <rPr>
        <rFont val="Arial"/>
        <color rgb="FF000000"/>
        <sz val="12.0"/>
        <u/>
      </rPr>
      <t xml:space="preserve">para revisión y aprobación
Link ejemplo ubicado en la carpeta Documentos Generales - Nota concepto y presupuesto:
</t>
    </r>
    <r>
      <rPr>
        <rFont val="Arial"/>
        <color rgb="FF1155CC"/>
        <sz val="12.0"/>
        <u/>
      </rPr>
      <t>https://drive.google.com/drive/u/2/folders/12lOrF5fZ7k3rT8TQui5iTTGRQi4iK30U</t>
    </r>
  </si>
  <si>
    <r>
      <rPr>
        <rFont val="Arial"/>
        <color theme="1"/>
        <sz val="12.0"/>
      </rPr>
      <t xml:space="preserve">Elaborar la </t>
    </r>
    <r>
      <rPr>
        <rFont val="Arial"/>
        <b/>
        <color theme="1"/>
        <sz val="12.0"/>
      </rPr>
      <t>Nota concepto preliminar y presupuesto del Proyecto</t>
    </r>
    <r>
      <rPr>
        <rFont val="Arial"/>
        <color theme="1"/>
        <sz val="12.0"/>
      </rPr>
      <t xml:space="preserve"> para revisión y aprobación, con total de beneficiarios, participantes en la primera sesión o población proyectada en el plan de trabajo 
</t>
    </r>
    <r>
      <rPr>
        <rFont val="Arial"/>
        <b/>
        <color theme="1"/>
        <sz val="12.0"/>
      </rPr>
      <t>Proyecto 3</t>
    </r>
  </si>
  <si>
    <r>
      <rPr>
        <rFont val="Arial"/>
        <color rgb="FF000000"/>
        <sz val="12.0"/>
        <u/>
      </rPr>
      <t>Cargar en</t>
    </r>
    <r>
      <rPr>
        <rFont val="Arial"/>
        <b/>
        <color rgb="FF000000"/>
        <sz val="12.0"/>
        <u/>
      </rPr>
      <t xml:space="preserve"> formato Word </t>
    </r>
    <r>
      <rPr>
        <rFont val="Arial"/>
        <color rgb="FF000000"/>
        <sz val="12.0"/>
        <u/>
      </rPr>
      <t>la Nota concepto y el presupuesto en</t>
    </r>
    <r>
      <rPr>
        <rFont val="Arial"/>
        <b/>
        <color rgb="FF000000"/>
        <sz val="12.0"/>
        <u/>
      </rPr>
      <t xml:space="preserve"> formato Excel </t>
    </r>
    <r>
      <rPr>
        <rFont val="Arial"/>
        <color rgb="FF000000"/>
        <sz val="12.0"/>
        <u/>
      </rPr>
      <t xml:space="preserve">para revisión y aprobación
Link ejemplo ubicado en la carpeta Documentos Generales - Nota concepto y presupuesto:
</t>
    </r>
    <r>
      <rPr>
        <rFont val="Arial"/>
        <color rgb="FF1155CC"/>
        <sz val="12.0"/>
        <u/>
      </rPr>
      <t>https://drive.google.com/drive/u/2/folders/12lOrF5fZ7k3rT8TQui5iTTGRQi4iK30U</t>
    </r>
  </si>
  <si>
    <r>
      <rPr>
        <rFont val="Arial"/>
        <color theme="1"/>
        <sz val="12.0"/>
      </rPr>
      <t xml:space="preserve">Elaborar la </t>
    </r>
    <r>
      <rPr>
        <rFont val="Arial"/>
        <b/>
        <color theme="1"/>
        <sz val="12.0"/>
      </rPr>
      <t>Nota concepto preliminar y presupuesto del Proyecto</t>
    </r>
    <r>
      <rPr>
        <rFont val="Arial"/>
        <color theme="1"/>
        <sz val="12.0"/>
      </rPr>
      <t xml:space="preserve"> para revisión y aprobación, con total de beneficiarios, participantes en la primera sesión o población proyectada en el plan de trabajo 
</t>
    </r>
    <r>
      <rPr>
        <rFont val="Arial"/>
        <b/>
        <color theme="1"/>
        <sz val="12.0"/>
      </rPr>
      <t>Proyecto 4</t>
    </r>
  </si>
  <si>
    <r>
      <rPr>
        <rFont val="Arial"/>
        <color rgb="FF000000"/>
        <sz val="12.0"/>
        <u/>
      </rPr>
      <t>Cargar en</t>
    </r>
    <r>
      <rPr>
        <rFont val="Arial"/>
        <b/>
        <color rgb="FF000000"/>
        <sz val="12.0"/>
        <u/>
      </rPr>
      <t xml:space="preserve"> formato Word </t>
    </r>
    <r>
      <rPr>
        <rFont val="Arial"/>
        <color rgb="FF000000"/>
        <sz val="12.0"/>
        <u/>
      </rPr>
      <t>la Nota concepto y el presupuesto en</t>
    </r>
    <r>
      <rPr>
        <rFont val="Arial"/>
        <b/>
        <color rgb="FF000000"/>
        <sz val="12.0"/>
        <u/>
      </rPr>
      <t xml:space="preserve"> formato Excel </t>
    </r>
    <r>
      <rPr>
        <rFont val="Arial"/>
        <color rgb="FF000000"/>
        <sz val="12.0"/>
        <u/>
      </rPr>
      <t xml:space="preserve">para revisión y aprobación
Link ejemplo ubicado en la carpeta Documentos Generales - Nota concepto y presupuesto:
</t>
    </r>
    <r>
      <rPr>
        <rFont val="Arial"/>
        <color rgb="FF1155CC"/>
        <sz val="12.0"/>
        <u/>
      </rPr>
      <t>https://drive.google.com/drive/u/2/folders/12lOrF5fZ7k3rT8TQui5iTTGRQi4iK30U</t>
    </r>
  </si>
  <si>
    <r>
      <rPr>
        <rFont val="Arial"/>
        <b/>
        <color theme="1"/>
        <sz val="12.0"/>
      </rPr>
      <t>Difusión de la pieza comunicacional -</t>
    </r>
    <r>
      <rPr>
        <rFont val="Arial"/>
        <color theme="1"/>
        <sz val="12.0"/>
      </rPr>
      <t xml:space="preserve"> Correo enviado al actor externo - </t>
    </r>
    <r>
      <rPr>
        <rFont val="Arial"/>
        <b/>
        <color theme="1"/>
        <sz val="12.0"/>
      </rPr>
      <t>Proyecto 1</t>
    </r>
  </si>
  <si>
    <r>
      <rPr>
        <rFont val="Arial"/>
        <b/>
        <color theme="1"/>
        <sz val="12.0"/>
      </rPr>
      <t>Difusión de la pieza comunicacional -</t>
    </r>
    <r>
      <rPr>
        <rFont val="Arial"/>
        <color theme="1"/>
        <sz val="12.0"/>
      </rPr>
      <t xml:space="preserve"> Correo enviado al actor externo - </t>
    </r>
    <r>
      <rPr>
        <rFont val="Arial"/>
        <b/>
        <color theme="1"/>
        <sz val="12.0"/>
      </rPr>
      <t>Proyecto 2</t>
    </r>
  </si>
  <si>
    <r>
      <rPr>
        <rFont val="Arial"/>
        <b/>
        <color theme="1"/>
        <sz val="12.0"/>
      </rPr>
      <t>Difusión de la pieza comunicacional -</t>
    </r>
    <r>
      <rPr>
        <rFont val="Arial"/>
        <color theme="1"/>
        <sz val="12.0"/>
      </rPr>
      <t xml:space="preserve"> Correo enviado al actor externo - </t>
    </r>
    <r>
      <rPr>
        <rFont val="Arial"/>
        <b/>
        <color theme="1"/>
        <sz val="12.0"/>
      </rPr>
      <t>Proyecto 3</t>
    </r>
  </si>
  <si>
    <r>
      <rPr>
        <rFont val="Arial"/>
        <b/>
        <color theme="1"/>
        <sz val="12.0"/>
      </rPr>
      <t>Difusión de la pieza comunicacional -</t>
    </r>
    <r>
      <rPr>
        <rFont val="Arial"/>
        <color theme="1"/>
        <sz val="12.0"/>
      </rPr>
      <t xml:space="preserve"> Correo enviado al actor externo - </t>
    </r>
    <r>
      <rPr>
        <rFont val="Arial"/>
        <b/>
        <color theme="1"/>
        <sz val="12.0"/>
      </rPr>
      <t>Proyecto 4</t>
    </r>
  </si>
  <si>
    <r>
      <rPr>
        <rFont val="Arial"/>
        <color theme="1"/>
        <sz val="12.0"/>
      </rPr>
      <t xml:space="preserve">Inicio del proyecto, implementación primera sesión. </t>
    </r>
    <r>
      <rPr>
        <rFont val="Arial"/>
        <b/>
        <color theme="1"/>
        <sz val="12.0"/>
      </rPr>
      <t xml:space="preserve">
Proyecto 1</t>
    </r>
  </si>
  <si>
    <r>
      <rPr>
        <rFont val="Arial"/>
        <color theme="1"/>
        <sz val="12.0"/>
      </rPr>
      <t xml:space="preserve">Inicio del proyecto, implementación primera sesión. </t>
    </r>
    <r>
      <rPr>
        <rFont val="Arial"/>
        <b/>
        <color theme="1"/>
        <sz val="12.0"/>
      </rPr>
      <t xml:space="preserve">
Proyecto 2</t>
    </r>
  </si>
  <si>
    <r>
      <rPr>
        <rFont val="Arial"/>
        <color theme="1"/>
        <sz val="12.0"/>
      </rPr>
      <t xml:space="preserve">Inicio del proyecto, implementación primera sesión. </t>
    </r>
    <r>
      <rPr>
        <rFont val="Arial"/>
        <b/>
        <color theme="1"/>
        <sz val="12.0"/>
      </rPr>
      <t xml:space="preserve">
Proyecto 3</t>
    </r>
  </si>
  <si>
    <r>
      <rPr>
        <rFont val="Arial"/>
        <color theme="1"/>
        <sz val="12.0"/>
      </rPr>
      <t xml:space="preserve">Inicio del proyecto, implementación primera sesión. </t>
    </r>
    <r>
      <rPr>
        <rFont val="Arial"/>
        <b/>
        <color theme="1"/>
        <sz val="12.0"/>
      </rPr>
      <t xml:space="preserve">
Proyecto 4</t>
    </r>
  </si>
  <si>
    <r>
      <rPr>
        <rFont val="Arial"/>
        <color theme="1"/>
        <sz val="12.0"/>
      </rPr>
      <t xml:space="preserve">Correo invitación sesión 2 - </t>
    </r>
    <r>
      <rPr>
        <rFont val="Arial"/>
        <b/>
        <color theme="1"/>
        <sz val="12.0"/>
      </rPr>
      <t>Proyecto 1</t>
    </r>
  </si>
  <si>
    <t xml:space="preserve">Enviar a los participantes inscritos la grabación y/o presentación de la sesión junto con la invitación a la siguiente sesión y  y cargar una captura de pantalla del envio del correo </t>
  </si>
  <si>
    <r>
      <rPr>
        <rFont val="Arial"/>
        <color theme="1"/>
        <sz val="12.0"/>
      </rPr>
      <t xml:space="preserve">Correo invitación sesión 2 - </t>
    </r>
    <r>
      <rPr>
        <rFont val="Arial"/>
        <b/>
        <color theme="1"/>
        <sz val="12.0"/>
      </rPr>
      <t>Proyecto 2</t>
    </r>
  </si>
  <si>
    <r>
      <rPr>
        <rFont val="Arial"/>
        <color theme="1"/>
        <sz val="12.0"/>
      </rPr>
      <t xml:space="preserve">Correo invitación sesión 2 - </t>
    </r>
    <r>
      <rPr>
        <rFont val="Arial"/>
        <b/>
        <color theme="1"/>
        <sz val="12.0"/>
      </rPr>
      <t>Proyecto 3</t>
    </r>
  </si>
  <si>
    <r>
      <rPr>
        <rFont val="Arial"/>
        <color theme="1"/>
        <sz val="12.0"/>
      </rPr>
      <t xml:space="preserve">Correo invitación sesión 2 - </t>
    </r>
    <r>
      <rPr>
        <rFont val="Arial"/>
        <b/>
        <color theme="1"/>
        <sz val="12.0"/>
      </rPr>
      <t>Proyecto 4</t>
    </r>
  </si>
  <si>
    <r>
      <rPr>
        <rFont val="Arial"/>
        <color theme="1"/>
        <sz val="12.0"/>
      </rPr>
      <t>Implementación segunda sesión</t>
    </r>
    <r>
      <rPr>
        <rFont val="Arial"/>
        <b/>
        <color theme="1"/>
        <sz val="12.0"/>
      </rPr>
      <t xml:space="preserve">
Proyecto 1</t>
    </r>
  </si>
  <si>
    <r>
      <rPr>
        <rFont val="Arial"/>
        <color theme="1"/>
        <sz val="12.0"/>
      </rPr>
      <t>Implementación segunda sesión</t>
    </r>
    <r>
      <rPr>
        <rFont val="Arial"/>
        <b/>
        <color theme="1"/>
        <sz val="12.0"/>
      </rPr>
      <t xml:space="preserve">
Proyecto 2</t>
    </r>
  </si>
  <si>
    <r>
      <rPr>
        <rFont val="Arial"/>
        <color theme="1"/>
        <sz val="12.0"/>
      </rPr>
      <t>Implementación segunda sesión</t>
    </r>
    <r>
      <rPr>
        <rFont val="Arial"/>
        <b/>
        <color theme="1"/>
        <sz val="12.0"/>
      </rPr>
      <t xml:space="preserve">
Proyecto 3</t>
    </r>
  </si>
  <si>
    <r>
      <rPr>
        <rFont val="Arial"/>
        <color theme="1"/>
        <sz val="12.0"/>
      </rPr>
      <t>Implementación segunda sesión</t>
    </r>
    <r>
      <rPr>
        <rFont val="Arial"/>
        <b/>
        <color theme="1"/>
        <sz val="12.0"/>
      </rPr>
      <t xml:space="preserve">
Proyecto 4</t>
    </r>
  </si>
  <si>
    <r>
      <rPr>
        <rFont val="Arial"/>
        <color theme="1"/>
        <sz val="12.0"/>
      </rPr>
      <t xml:space="preserve">Correo invitación sesión 3 - </t>
    </r>
    <r>
      <rPr>
        <rFont val="Arial"/>
        <b/>
        <color theme="1"/>
        <sz val="12.0"/>
      </rPr>
      <t>Proyecto 1</t>
    </r>
  </si>
  <si>
    <r>
      <rPr>
        <rFont val="Arial"/>
        <color theme="1"/>
        <sz val="12.0"/>
      </rPr>
      <t xml:space="preserve">Correo invitación sesión 3 - </t>
    </r>
    <r>
      <rPr>
        <rFont val="Arial"/>
        <b/>
        <color theme="1"/>
        <sz val="12.0"/>
      </rPr>
      <t>Proyecto 2</t>
    </r>
  </si>
  <si>
    <r>
      <rPr>
        <rFont val="Arial"/>
        <color theme="1"/>
        <sz val="12.0"/>
      </rPr>
      <t xml:space="preserve">Correo invitación sesión 3 - </t>
    </r>
    <r>
      <rPr>
        <rFont val="Arial"/>
        <b/>
        <color theme="1"/>
        <sz val="12.0"/>
      </rPr>
      <t>Proyecto 3</t>
    </r>
  </si>
  <si>
    <r>
      <rPr>
        <rFont val="Arial"/>
        <color theme="1"/>
        <sz val="12.0"/>
      </rPr>
      <t xml:space="preserve">Correo invitación sesión 3 - </t>
    </r>
    <r>
      <rPr>
        <rFont val="Arial"/>
        <b/>
        <color theme="1"/>
        <sz val="12.0"/>
      </rPr>
      <t>Proyecto 4</t>
    </r>
  </si>
  <si>
    <r>
      <rPr>
        <rFont val="Arial"/>
        <color theme="1"/>
        <sz val="12.0"/>
      </rPr>
      <t>Implementación tercera sesión</t>
    </r>
    <r>
      <rPr>
        <rFont val="Arial"/>
        <b/>
        <color theme="1"/>
        <sz val="12.0"/>
      </rPr>
      <t xml:space="preserve">
Proyecto 1</t>
    </r>
  </si>
  <si>
    <r>
      <rPr>
        <rFont val="Arial"/>
        <color theme="1"/>
        <sz val="12.0"/>
      </rPr>
      <t>Implementación tercera sesión</t>
    </r>
    <r>
      <rPr>
        <rFont val="Arial"/>
        <b/>
        <color theme="1"/>
        <sz val="12.0"/>
      </rPr>
      <t xml:space="preserve">
Proyecto 2</t>
    </r>
  </si>
  <si>
    <r>
      <rPr>
        <rFont val="Arial"/>
        <color theme="1"/>
        <sz val="12.0"/>
      </rPr>
      <t>Implementación tercera sesión</t>
    </r>
    <r>
      <rPr>
        <rFont val="Arial"/>
        <b/>
        <color theme="1"/>
        <sz val="12.0"/>
      </rPr>
      <t xml:space="preserve">
Proyecto 3</t>
    </r>
  </si>
  <si>
    <r>
      <rPr>
        <rFont val="Arial"/>
        <color theme="1"/>
        <sz val="12.0"/>
      </rPr>
      <t>Implementación tercera sesión</t>
    </r>
    <r>
      <rPr>
        <rFont val="Arial"/>
        <b/>
        <color theme="1"/>
        <sz val="12.0"/>
      </rPr>
      <t xml:space="preserve">
Proyecto 4</t>
    </r>
  </si>
  <si>
    <r>
      <rPr>
        <rFont val="Arial"/>
        <color theme="1"/>
        <sz val="12.0"/>
      </rPr>
      <t xml:space="preserve">Correo invitación sesión 4 - </t>
    </r>
    <r>
      <rPr>
        <rFont val="Arial"/>
        <b/>
        <color theme="1"/>
        <sz val="12.0"/>
      </rPr>
      <t>Proyecto 1</t>
    </r>
  </si>
  <si>
    <r>
      <rPr>
        <rFont val="Arial"/>
        <color theme="1"/>
        <sz val="12.0"/>
      </rPr>
      <t xml:space="preserve">Correo invitación sesión 4 - </t>
    </r>
    <r>
      <rPr>
        <rFont val="Arial"/>
        <b/>
        <color theme="1"/>
        <sz val="12.0"/>
      </rPr>
      <t>Proyecto 2</t>
    </r>
  </si>
  <si>
    <r>
      <rPr>
        <rFont val="Arial"/>
        <color theme="1"/>
        <sz val="12.0"/>
      </rPr>
      <t xml:space="preserve">Correo invitación sesión 4 - </t>
    </r>
    <r>
      <rPr>
        <rFont val="Arial"/>
        <b/>
        <color theme="1"/>
        <sz val="12.0"/>
      </rPr>
      <t>Proyecto 3</t>
    </r>
  </si>
  <si>
    <r>
      <rPr>
        <rFont val="Arial"/>
        <color theme="1"/>
        <sz val="12.0"/>
      </rPr>
      <t xml:space="preserve">Correo invitación sesión 4 - </t>
    </r>
    <r>
      <rPr>
        <rFont val="Arial"/>
        <b/>
        <color theme="1"/>
        <sz val="12.0"/>
      </rPr>
      <t>Proyecto 4</t>
    </r>
  </si>
  <si>
    <r>
      <rPr>
        <rFont val="Arial"/>
        <color theme="1"/>
        <sz val="12.0"/>
      </rPr>
      <t>Implementación cuarta sesión</t>
    </r>
    <r>
      <rPr>
        <rFont val="Arial"/>
        <b/>
        <color theme="1"/>
        <sz val="12.0"/>
      </rPr>
      <t xml:space="preserve">
Proyecto 1</t>
    </r>
  </si>
  <si>
    <r>
      <rPr>
        <rFont val="Arial"/>
        <color theme="1"/>
        <sz val="12.0"/>
      </rPr>
      <t>Implementación cuarta sesión</t>
    </r>
    <r>
      <rPr>
        <rFont val="Arial"/>
        <b/>
        <color theme="1"/>
        <sz val="12.0"/>
      </rPr>
      <t xml:space="preserve">
Proyecto 2</t>
    </r>
  </si>
  <si>
    <r>
      <rPr>
        <rFont val="Arial"/>
        <color theme="1"/>
        <sz val="12.0"/>
      </rPr>
      <t>Implementación cuarta sesión</t>
    </r>
    <r>
      <rPr>
        <rFont val="Arial"/>
        <b/>
        <color theme="1"/>
        <sz val="12.0"/>
      </rPr>
      <t xml:space="preserve">
Proyecto 3</t>
    </r>
  </si>
  <si>
    <r>
      <rPr>
        <rFont val="Arial"/>
        <color theme="1"/>
        <sz val="12.0"/>
      </rPr>
      <t>Implementación cuarta sesión</t>
    </r>
    <r>
      <rPr>
        <rFont val="Arial"/>
        <b/>
        <color theme="1"/>
        <sz val="12.0"/>
      </rPr>
      <t xml:space="preserve">
Proyecto 4</t>
    </r>
  </si>
  <si>
    <r>
      <rPr>
        <rFont val="Arial"/>
        <color theme="1"/>
        <sz val="12.0"/>
      </rPr>
      <t xml:space="preserve">Correo invitación sesión 5 - </t>
    </r>
    <r>
      <rPr>
        <rFont val="Arial"/>
        <b/>
        <color theme="1"/>
        <sz val="12.0"/>
      </rPr>
      <t>Proyecto 1</t>
    </r>
  </si>
  <si>
    <r>
      <rPr>
        <rFont val="Arial"/>
        <color theme="1"/>
        <sz val="12.0"/>
      </rPr>
      <t xml:space="preserve">Correo invitación sesión 5 - </t>
    </r>
    <r>
      <rPr>
        <rFont val="Arial"/>
        <b/>
        <color theme="1"/>
        <sz val="12.0"/>
      </rPr>
      <t>Proyecto 2</t>
    </r>
  </si>
  <si>
    <r>
      <rPr>
        <rFont val="Arial"/>
        <color theme="1"/>
        <sz val="12.0"/>
      </rPr>
      <t xml:space="preserve">Correo invitación sesión 5 - </t>
    </r>
    <r>
      <rPr>
        <rFont val="Arial"/>
        <b/>
        <color theme="1"/>
        <sz val="12.0"/>
      </rPr>
      <t>Proyecto 3</t>
    </r>
  </si>
  <si>
    <r>
      <rPr>
        <rFont val="Arial"/>
        <color theme="1"/>
        <sz val="12.0"/>
      </rPr>
      <t xml:space="preserve">Correo invitación sesión 5 - </t>
    </r>
    <r>
      <rPr>
        <rFont val="Arial"/>
        <b/>
        <color theme="1"/>
        <sz val="12.0"/>
      </rPr>
      <t>Proyecto 4</t>
    </r>
  </si>
  <si>
    <r>
      <rPr>
        <rFont val="Arial"/>
        <color theme="1"/>
        <sz val="12.0"/>
      </rPr>
      <t>Implementación quinta sesión</t>
    </r>
    <r>
      <rPr>
        <rFont val="Arial"/>
        <b/>
        <color theme="1"/>
        <sz val="12.0"/>
      </rPr>
      <t xml:space="preserve">
Proyecto 1</t>
    </r>
  </si>
  <si>
    <r>
      <rPr>
        <rFont val="Arial"/>
        <color theme="1"/>
        <sz val="12.0"/>
      </rPr>
      <t>Implementación quinta sesión</t>
    </r>
    <r>
      <rPr>
        <rFont val="Arial"/>
        <b/>
        <color theme="1"/>
        <sz val="12.0"/>
      </rPr>
      <t xml:space="preserve">
Proyecto 2</t>
    </r>
  </si>
  <si>
    <r>
      <rPr>
        <rFont val="Arial"/>
        <color theme="1"/>
        <sz val="12.0"/>
      </rPr>
      <t>Implementación quinta sesión</t>
    </r>
    <r>
      <rPr>
        <rFont val="Arial"/>
        <b/>
        <color theme="1"/>
        <sz val="12.0"/>
      </rPr>
      <t xml:space="preserve">
Proyecto 3</t>
    </r>
  </si>
  <si>
    <r>
      <rPr>
        <rFont val="Arial"/>
        <color theme="1"/>
        <sz val="12.0"/>
      </rPr>
      <t>Implementación quinta sesión</t>
    </r>
    <r>
      <rPr>
        <rFont val="Arial"/>
        <b/>
        <color theme="1"/>
        <sz val="12.0"/>
      </rPr>
      <t xml:space="preserve">
Proyecto 4</t>
    </r>
  </si>
  <si>
    <r>
      <rPr>
        <rFont val="Arial"/>
        <color theme="1"/>
        <sz val="12.0"/>
      </rPr>
      <t xml:space="preserve">Correo invitación sesión 6 - </t>
    </r>
    <r>
      <rPr>
        <rFont val="Arial"/>
        <b/>
        <color theme="1"/>
        <sz val="12.0"/>
      </rPr>
      <t>Proyecto 1</t>
    </r>
  </si>
  <si>
    <r>
      <rPr>
        <rFont val="Arial"/>
        <color theme="1"/>
        <sz val="12.0"/>
      </rPr>
      <t xml:space="preserve">Correo invitación sesión 6 - </t>
    </r>
    <r>
      <rPr>
        <rFont val="Arial"/>
        <b/>
        <color theme="1"/>
        <sz val="12.0"/>
      </rPr>
      <t>Proyecto 2</t>
    </r>
  </si>
  <si>
    <r>
      <rPr>
        <rFont val="Arial"/>
        <color theme="1"/>
        <sz val="12.0"/>
      </rPr>
      <t xml:space="preserve">Correo invitación sesión 6 - </t>
    </r>
    <r>
      <rPr>
        <rFont val="Arial"/>
        <b/>
        <color theme="1"/>
        <sz val="12.0"/>
      </rPr>
      <t>Proyecto 3</t>
    </r>
  </si>
  <si>
    <r>
      <rPr>
        <rFont val="Arial"/>
        <color theme="1"/>
        <sz val="12.0"/>
      </rPr>
      <t xml:space="preserve">Correo invitación sesión 6 - </t>
    </r>
    <r>
      <rPr>
        <rFont val="Arial"/>
        <b/>
        <color theme="1"/>
        <sz val="12.0"/>
      </rPr>
      <t>Proyecto 4</t>
    </r>
  </si>
  <si>
    <r>
      <rPr>
        <rFont val="Arial"/>
        <color theme="1"/>
        <sz val="12.0"/>
      </rPr>
      <t>Implementación sexta sesión</t>
    </r>
    <r>
      <rPr>
        <rFont val="Arial"/>
        <b/>
        <color theme="1"/>
        <sz val="12.0"/>
      </rPr>
      <t xml:space="preserve">
Proyecto 1</t>
    </r>
  </si>
  <si>
    <r>
      <rPr>
        <rFont val="Arial"/>
        <color theme="1"/>
        <sz val="12.0"/>
      </rPr>
      <t>Implementación sexta sesión</t>
    </r>
    <r>
      <rPr>
        <rFont val="Arial"/>
        <b/>
        <color theme="1"/>
        <sz val="12.0"/>
      </rPr>
      <t xml:space="preserve">
Proyecto 2</t>
    </r>
  </si>
  <si>
    <r>
      <rPr>
        <rFont val="Arial"/>
        <color theme="1"/>
        <sz val="12.0"/>
      </rPr>
      <t>Implementación sexta sesión</t>
    </r>
    <r>
      <rPr>
        <rFont val="Arial"/>
        <b/>
        <color theme="1"/>
        <sz val="12.0"/>
      </rPr>
      <t xml:space="preserve">
Proyecto 3</t>
    </r>
  </si>
  <si>
    <r>
      <rPr>
        <rFont val="Arial"/>
        <color theme="1"/>
        <sz val="12.0"/>
      </rPr>
      <t>Implementación sexta sesión</t>
    </r>
    <r>
      <rPr>
        <rFont val="Arial"/>
        <b/>
        <color theme="1"/>
        <sz val="12.0"/>
      </rPr>
      <t xml:space="preserve">
Proyecto 4</t>
    </r>
  </si>
  <si>
    <r>
      <rPr>
        <rFont val="Arial"/>
        <color theme="1"/>
        <sz val="12.0"/>
      </rPr>
      <t xml:space="preserve">Correo invitación sesión 7 - </t>
    </r>
    <r>
      <rPr>
        <rFont val="Arial"/>
        <b/>
        <color theme="1"/>
        <sz val="12.0"/>
      </rPr>
      <t>Proyecto 1</t>
    </r>
  </si>
  <si>
    <r>
      <rPr>
        <rFont val="Arial"/>
        <color theme="1"/>
        <sz val="12.0"/>
      </rPr>
      <t xml:space="preserve">Correo invitación sesión 7 - </t>
    </r>
    <r>
      <rPr>
        <rFont val="Arial"/>
        <b/>
        <color theme="1"/>
        <sz val="12.0"/>
      </rPr>
      <t>Proyecto 2</t>
    </r>
  </si>
  <si>
    <r>
      <rPr>
        <rFont val="Arial"/>
        <color theme="1"/>
        <sz val="12.0"/>
      </rPr>
      <t xml:space="preserve">Correo invitación sesión 7 - </t>
    </r>
    <r>
      <rPr>
        <rFont val="Arial"/>
        <b/>
        <color theme="1"/>
        <sz val="12.0"/>
      </rPr>
      <t>Proyecto 1</t>
    </r>
  </si>
  <si>
    <r>
      <rPr>
        <rFont val="Arial"/>
        <color theme="1"/>
        <sz val="12.0"/>
      </rPr>
      <t xml:space="preserve">Correo invitación sesión 7 - </t>
    </r>
    <r>
      <rPr>
        <rFont val="Arial"/>
        <b/>
        <color theme="1"/>
        <sz val="12.0"/>
      </rPr>
      <t>Proyecto 4</t>
    </r>
  </si>
  <si>
    <r>
      <rPr>
        <rFont val="Arial"/>
        <color theme="1"/>
        <sz val="12.0"/>
      </rPr>
      <t>Implementación septima sesión</t>
    </r>
    <r>
      <rPr>
        <rFont val="Arial"/>
        <b/>
        <color theme="1"/>
        <sz val="12.0"/>
      </rPr>
      <t xml:space="preserve">
Proyecto 1</t>
    </r>
  </si>
  <si>
    <r>
      <rPr>
        <rFont val="Arial"/>
        <color theme="1"/>
        <sz val="12.0"/>
      </rPr>
      <t>Implementación septima sesión</t>
    </r>
    <r>
      <rPr>
        <rFont val="Arial"/>
        <b/>
        <color theme="1"/>
        <sz val="12.0"/>
      </rPr>
      <t xml:space="preserve">
Proyecto 2</t>
    </r>
  </si>
  <si>
    <r>
      <rPr>
        <rFont val="Arial"/>
        <color theme="1"/>
        <sz val="12.0"/>
      </rPr>
      <t>Implementación septima sesión</t>
    </r>
    <r>
      <rPr>
        <rFont val="Arial"/>
        <b/>
        <color theme="1"/>
        <sz val="12.0"/>
      </rPr>
      <t xml:space="preserve">
Proyecto 3</t>
    </r>
  </si>
  <si>
    <r>
      <rPr>
        <rFont val="Arial"/>
        <color theme="1"/>
        <sz val="12.0"/>
      </rPr>
      <t>Implementación septima sesión</t>
    </r>
    <r>
      <rPr>
        <rFont val="Arial"/>
        <b/>
        <color theme="1"/>
        <sz val="12.0"/>
      </rPr>
      <t xml:space="preserve">
Proyecto 4</t>
    </r>
  </si>
  <si>
    <r>
      <rPr>
        <rFont val="Arial"/>
        <color theme="1"/>
        <sz val="12.0"/>
      </rPr>
      <t xml:space="preserve">Correo invitación sesión 8 - </t>
    </r>
    <r>
      <rPr>
        <rFont val="Arial"/>
        <b/>
        <color theme="1"/>
        <sz val="12.0"/>
      </rPr>
      <t>Proyecto 1</t>
    </r>
  </si>
  <si>
    <r>
      <rPr>
        <rFont val="Arial"/>
        <color theme="1"/>
        <sz val="12.0"/>
      </rPr>
      <t xml:space="preserve">Correo invitación sesión 8 - </t>
    </r>
    <r>
      <rPr>
        <rFont val="Arial"/>
        <b/>
        <color theme="1"/>
        <sz val="12.0"/>
      </rPr>
      <t>Proyecto 2</t>
    </r>
  </si>
  <si>
    <r>
      <rPr>
        <rFont val="Arial"/>
        <color theme="1"/>
        <sz val="12.0"/>
      </rPr>
      <t xml:space="preserve">Correo invitación sesión 8 - </t>
    </r>
    <r>
      <rPr>
        <rFont val="Arial"/>
        <b/>
        <color theme="1"/>
        <sz val="12.0"/>
      </rPr>
      <t>Proyecto 3</t>
    </r>
  </si>
  <si>
    <r>
      <rPr>
        <rFont val="Arial"/>
        <color theme="1"/>
        <sz val="12.0"/>
      </rPr>
      <t xml:space="preserve">Correo invitación sesión 8 - </t>
    </r>
    <r>
      <rPr>
        <rFont val="Arial"/>
        <b/>
        <color theme="1"/>
        <sz val="12.0"/>
      </rPr>
      <t>Proyecto 4</t>
    </r>
  </si>
  <si>
    <r>
      <rPr>
        <rFont val="Arial"/>
        <color theme="1"/>
        <sz val="12.0"/>
      </rPr>
      <t>Implementación octava sesión</t>
    </r>
    <r>
      <rPr>
        <rFont val="Arial"/>
        <b/>
        <color theme="1"/>
        <sz val="12.0"/>
      </rPr>
      <t xml:space="preserve">
Proyecto 1</t>
    </r>
  </si>
  <si>
    <r>
      <rPr>
        <rFont val="Arial"/>
        <color theme="1"/>
        <sz val="12.0"/>
      </rPr>
      <t>Implementación octava sesión</t>
    </r>
    <r>
      <rPr>
        <rFont val="Arial"/>
        <b/>
        <color theme="1"/>
        <sz val="12.0"/>
      </rPr>
      <t xml:space="preserve">
Proyecto 2</t>
    </r>
  </si>
  <si>
    <r>
      <rPr>
        <rFont val="Arial"/>
        <color theme="1"/>
        <sz val="12.0"/>
      </rPr>
      <t>Implementación octava sesión</t>
    </r>
    <r>
      <rPr>
        <rFont val="Arial"/>
        <b/>
        <color theme="1"/>
        <sz val="12.0"/>
      </rPr>
      <t xml:space="preserve">
Proyecto 3</t>
    </r>
  </si>
  <si>
    <r>
      <rPr>
        <rFont val="Arial"/>
        <color theme="1"/>
        <sz val="12.0"/>
      </rPr>
      <t>Implementación octava sesión</t>
    </r>
    <r>
      <rPr>
        <rFont val="Arial"/>
        <b/>
        <color theme="1"/>
        <sz val="12.0"/>
      </rPr>
      <t xml:space="preserve">
Proyecto 4</t>
    </r>
  </si>
  <si>
    <r>
      <rPr>
        <rFont val="Arial"/>
        <color theme="1"/>
        <sz val="12.0"/>
      </rPr>
      <t xml:space="preserve">Correo invitación sesión 9 - </t>
    </r>
    <r>
      <rPr>
        <rFont val="Arial"/>
        <b/>
        <color theme="1"/>
        <sz val="12.0"/>
      </rPr>
      <t>Proyecto 1</t>
    </r>
  </si>
  <si>
    <r>
      <rPr>
        <rFont val="Arial"/>
        <color theme="1"/>
        <sz val="12.0"/>
      </rPr>
      <t xml:space="preserve">Correo invitación sesión 9 - </t>
    </r>
    <r>
      <rPr>
        <rFont val="Arial"/>
        <b/>
        <color theme="1"/>
        <sz val="12.0"/>
      </rPr>
      <t>Proyecto 2</t>
    </r>
  </si>
  <si>
    <r>
      <rPr>
        <rFont val="Arial"/>
        <color theme="1"/>
        <sz val="12.0"/>
      </rPr>
      <t xml:space="preserve">Correo invitación sesión 9 - </t>
    </r>
    <r>
      <rPr>
        <rFont val="Arial"/>
        <b/>
        <color theme="1"/>
        <sz val="12.0"/>
      </rPr>
      <t>Proyecto 3</t>
    </r>
  </si>
  <si>
    <r>
      <rPr>
        <rFont val="Arial"/>
        <color theme="1"/>
        <sz val="12.0"/>
      </rPr>
      <t xml:space="preserve">Correo invitación sesión 9 - </t>
    </r>
    <r>
      <rPr>
        <rFont val="Arial"/>
        <b/>
        <color theme="1"/>
        <sz val="12.0"/>
      </rPr>
      <t>Proyecto 4</t>
    </r>
  </si>
  <si>
    <r>
      <rPr>
        <rFont val="Arial"/>
        <color theme="1"/>
        <sz val="12.0"/>
      </rPr>
      <t>Implementación novena sesión</t>
    </r>
    <r>
      <rPr>
        <rFont val="Arial"/>
        <b/>
        <color theme="1"/>
        <sz val="12.0"/>
      </rPr>
      <t xml:space="preserve">
Proyecto 1</t>
    </r>
  </si>
  <si>
    <r>
      <rPr>
        <rFont val="Arial"/>
        <color theme="1"/>
        <sz val="12.0"/>
      </rPr>
      <t>Implementación novena sesión</t>
    </r>
    <r>
      <rPr>
        <rFont val="Arial"/>
        <b/>
        <color theme="1"/>
        <sz val="12.0"/>
      </rPr>
      <t xml:space="preserve">
Proyecto 2</t>
    </r>
  </si>
  <si>
    <r>
      <rPr>
        <rFont val="Arial"/>
        <color theme="1"/>
        <sz val="12.0"/>
      </rPr>
      <t>Implementación novena sesión</t>
    </r>
    <r>
      <rPr>
        <rFont val="Arial"/>
        <b/>
        <color theme="1"/>
        <sz val="12.0"/>
      </rPr>
      <t xml:space="preserve">
Proyecto 3</t>
    </r>
  </si>
  <si>
    <r>
      <rPr>
        <rFont val="Arial"/>
        <color theme="1"/>
        <sz val="12.0"/>
      </rPr>
      <t>Implementación novena sesión</t>
    </r>
    <r>
      <rPr>
        <rFont val="Arial"/>
        <b/>
        <color theme="1"/>
        <sz val="12.0"/>
      </rPr>
      <t xml:space="preserve">
Proyecto 4</t>
    </r>
  </si>
  <si>
    <r>
      <rPr>
        <rFont val="Arial"/>
        <color theme="1"/>
        <sz val="12.0"/>
      </rPr>
      <t xml:space="preserve">Correo invitación sesión 10 - </t>
    </r>
    <r>
      <rPr>
        <rFont val="Arial"/>
        <b/>
        <color theme="1"/>
        <sz val="12.0"/>
      </rPr>
      <t>Proyecto 1</t>
    </r>
  </si>
  <si>
    <r>
      <rPr>
        <rFont val="Arial"/>
        <color theme="1"/>
        <sz val="12.0"/>
      </rPr>
      <t xml:space="preserve">Correo invitación sesión 10 - </t>
    </r>
    <r>
      <rPr>
        <rFont val="Arial"/>
        <b/>
        <color theme="1"/>
        <sz val="12.0"/>
      </rPr>
      <t>Proyecto 2</t>
    </r>
  </si>
  <si>
    <r>
      <rPr>
        <rFont val="Arial"/>
        <color theme="1"/>
        <sz val="12.0"/>
      </rPr>
      <t xml:space="preserve">Correo invitación sesión 10 - </t>
    </r>
    <r>
      <rPr>
        <rFont val="Arial"/>
        <b/>
        <color theme="1"/>
        <sz val="12.0"/>
      </rPr>
      <t>Proyecto 3</t>
    </r>
  </si>
  <si>
    <r>
      <rPr>
        <rFont val="Arial"/>
        <color theme="1"/>
        <sz val="12.0"/>
      </rPr>
      <t xml:space="preserve">Correo invitación sesión 10 - </t>
    </r>
    <r>
      <rPr>
        <rFont val="Arial"/>
        <b/>
        <color theme="1"/>
        <sz val="12.0"/>
      </rPr>
      <t>Proyecto 4</t>
    </r>
  </si>
  <si>
    <r>
      <rPr>
        <rFont val="Arial"/>
        <color theme="1"/>
        <sz val="12.0"/>
      </rPr>
      <t>Implementación decima sesión</t>
    </r>
    <r>
      <rPr>
        <rFont val="Arial"/>
        <b/>
        <color theme="1"/>
        <sz val="12.0"/>
      </rPr>
      <t xml:space="preserve">
Proyecto 1</t>
    </r>
  </si>
  <si>
    <r>
      <rPr>
        <rFont val="Arial"/>
        <color theme="1"/>
        <sz val="12.0"/>
      </rPr>
      <t>Implementación decima sesión</t>
    </r>
    <r>
      <rPr>
        <rFont val="Arial"/>
        <b/>
        <color theme="1"/>
        <sz val="12.0"/>
      </rPr>
      <t xml:space="preserve">
Proyecto 2</t>
    </r>
  </si>
  <si>
    <r>
      <rPr>
        <rFont val="Arial"/>
        <color theme="1"/>
        <sz val="12.0"/>
      </rPr>
      <t>Implementación decima sesión</t>
    </r>
    <r>
      <rPr>
        <rFont val="Arial"/>
        <b/>
        <color theme="1"/>
        <sz val="12.0"/>
      </rPr>
      <t xml:space="preserve">
Proyecto 3</t>
    </r>
  </si>
  <si>
    <r>
      <rPr>
        <rFont val="Arial"/>
        <color theme="1"/>
        <sz val="12.0"/>
      </rPr>
      <t>Implementación decima sesión</t>
    </r>
    <r>
      <rPr>
        <rFont val="Arial"/>
        <b/>
        <color theme="1"/>
        <sz val="12.0"/>
      </rPr>
      <t xml:space="preserve">
Proyecto 4</t>
    </r>
  </si>
  <si>
    <r>
      <rPr>
        <rFont val="Arial"/>
        <color theme="1"/>
        <sz val="12.0"/>
      </rPr>
      <t xml:space="preserve">Aplicar la </t>
    </r>
    <r>
      <rPr>
        <rFont val="Arial"/>
        <b/>
        <color theme="1"/>
        <sz val="12.0"/>
      </rPr>
      <t xml:space="preserve">Evaluación de satisfacción </t>
    </r>
    <r>
      <rPr>
        <rFont val="Arial"/>
        <color theme="1"/>
        <sz val="12.0"/>
      </rPr>
      <t xml:space="preserve">y cargar en drive el consolidado 
</t>
    </r>
    <r>
      <rPr>
        <rFont val="Arial"/>
        <b/>
        <color theme="1"/>
        <sz val="12.0"/>
      </rPr>
      <t>Proyecto 1</t>
    </r>
  </si>
  <si>
    <r>
      <rPr>
        <rFont val="Arial"/>
        <b/>
        <color rgb="FF467886"/>
        <sz val="12.0"/>
        <u/>
      </rPr>
      <t>Proyecto presencial</t>
    </r>
    <r>
      <rPr>
        <rFont val="Arial"/>
        <color rgb="FF467886"/>
        <sz val="12.0"/>
        <u/>
      </rPr>
      <t xml:space="preserve">: Cargar PDF de respuestas escaneadas de la Evaluación de satisfacción aplicada
</t>
    </r>
    <r>
      <rPr>
        <rFont val="Arial"/>
        <b/>
        <color rgb="FF467886"/>
        <sz val="12.0"/>
        <u/>
      </rPr>
      <t xml:space="preserve">Proyecto virtual: </t>
    </r>
    <r>
      <rPr>
        <rFont val="Arial"/>
        <color rgb="FF467886"/>
        <sz val="12.0"/>
        <u/>
      </rPr>
      <t xml:space="preserve">Cargar Excel formulario de respuestas de la Evaluación de satisfacción aplicada
Link formatos ejemplo ubicado en la carpeta Documentos Generales - Evaluación de satisfacción: </t>
    </r>
    <r>
      <rPr>
        <rFont val="Arial"/>
        <color rgb="FF1155CC"/>
        <sz val="12.0"/>
        <u/>
      </rPr>
      <t>https://drive.google.com/drive/folders/1Td1fGiV2CCUfaTX8ixniPdiRrFpj5k6D?usp=drive_link</t>
    </r>
  </si>
  <si>
    <r>
      <rPr>
        <rFont val="Arial"/>
        <color theme="1"/>
        <sz val="12.0"/>
      </rPr>
      <t xml:space="preserve">Aplicar la </t>
    </r>
    <r>
      <rPr>
        <rFont val="Arial"/>
        <b/>
        <color theme="1"/>
        <sz val="12.0"/>
      </rPr>
      <t xml:space="preserve">Evaluación de satisfacción </t>
    </r>
    <r>
      <rPr>
        <rFont val="Arial"/>
        <color theme="1"/>
        <sz val="12.0"/>
      </rPr>
      <t xml:space="preserve">y cargar en drive el consolidado 
</t>
    </r>
    <r>
      <rPr>
        <rFont val="Arial"/>
        <b/>
        <color theme="1"/>
        <sz val="12.0"/>
      </rPr>
      <t>Proyecto 2</t>
    </r>
  </si>
  <si>
    <r>
      <rPr>
        <rFont val="Arial"/>
        <b/>
        <color rgb="FF467886"/>
        <sz val="12.0"/>
        <u/>
      </rPr>
      <t>Proyecto presencial</t>
    </r>
    <r>
      <rPr>
        <rFont val="Arial"/>
        <color rgb="FF467886"/>
        <sz val="12.0"/>
        <u/>
      </rPr>
      <t xml:space="preserve">: Cargar PDF de respuestas escaneadas de la Evaluación de satisfacción aplicada
</t>
    </r>
    <r>
      <rPr>
        <rFont val="Arial"/>
        <b/>
        <color rgb="FF467886"/>
        <sz val="12.0"/>
        <u/>
      </rPr>
      <t xml:space="preserve">Proyecto virtual: </t>
    </r>
    <r>
      <rPr>
        <rFont val="Arial"/>
        <color rgb="FF467886"/>
        <sz val="12.0"/>
        <u/>
      </rPr>
      <t xml:space="preserve">Cargar Excel formulario de respuestas de la Evaluación de satisfacción aplicada
Link formatos ejemplo ubicado en la carpeta Documentos Generales - Evaluación de satisfacción: </t>
    </r>
    <r>
      <rPr>
        <rFont val="Arial"/>
        <color rgb="FF1155CC"/>
        <sz val="12.0"/>
        <u/>
      </rPr>
      <t>https://drive.google.com/drive/folders/1Td1fGiV2CCUfaTX8ixniPdiRrFpj5k6D?usp=drive_link</t>
    </r>
  </si>
  <si>
    <r>
      <rPr>
        <rFont val="Arial"/>
        <color theme="1"/>
        <sz val="12.0"/>
      </rPr>
      <t xml:space="preserve">Aplicar la </t>
    </r>
    <r>
      <rPr>
        <rFont val="Arial"/>
        <b/>
        <color theme="1"/>
        <sz val="12.0"/>
      </rPr>
      <t xml:space="preserve">Evaluación de satisfacción </t>
    </r>
    <r>
      <rPr>
        <rFont val="Arial"/>
        <color theme="1"/>
        <sz val="12.0"/>
      </rPr>
      <t xml:space="preserve">y cargar en drive el consolidado 
</t>
    </r>
    <r>
      <rPr>
        <rFont val="Arial"/>
        <b/>
        <color theme="1"/>
        <sz val="12.0"/>
      </rPr>
      <t>Proyecto 3</t>
    </r>
  </si>
  <si>
    <r>
      <rPr>
        <rFont val="Arial"/>
        <b/>
        <color rgb="FF467886"/>
        <sz val="12.0"/>
        <u/>
      </rPr>
      <t>Proyecto presencial</t>
    </r>
    <r>
      <rPr>
        <rFont val="Arial"/>
        <color rgb="FF467886"/>
        <sz val="12.0"/>
        <u/>
      </rPr>
      <t xml:space="preserve">: Cargar PDF de respuestas escaneadas de la Evaluación de satisfacción aplicada
</t>
    </r>
    <r>
      <rPr>
        <rFont val="Arial"/>
        <b/>
        <color rgb="FF467886"/>
        <sz val="12.0"/>
        <u/>
      </rPr>
      <t xml:space="preserve">Proyecto virtual: </t>
    </r>
    <r>
      <rPr>
        <rFont val="Arial"/>
        <color rgb="FF467886"/>
        <sz val="12.0"/>
        <u/>
      </rPr>
      <t xml:space="preserve">Cargar Excel formulario de respuestas de la Evaluación de satisfacción aplicada
Link formatos ejemplo ubicado en la carpeta Documentos Generales - Evaluación de satisfacción: </t>
    </r>
    <r>
      <rPr>
        <rFont val="Arial"/>
        <color rgb="FF1155CC"/>
        <sz val="12.0"/>
        <u/>
      </rPr>
      <t>https://drive.google.com/drive/folders/1Td1fGiV2CCUfaTX8ixniPdiRrFpj5k6D?usp=drive_link</t>
    </r>
  </si>
  <si>
    <r>
      <rPr>
        <rFont val="Arial"/>
        <color theme="1"/>
        <sz val="12.0"/>
      </rPr>
      <t xml:space="preserve">Aplicar la </t>
    </r>
    <r>
      <rPr>
        <rFont val="Arial"/>
        <b/>
        <color theme="1"/>
        <sz val="12.0"/>
      </rPr>
      <t xml:space="preserve">Evaluación de satisfacción </t>
    </r>
    <r>
      <rPr>
        <rFont val="Arial"/>
        <color theme="1"/>
        <sz val="12.0"/>
      </rPr>
      <t xml:space="preserve">y cargar en drive el consolidado 
</t>
    </r>
    <r>
      <rPr>
        <rFont val="Arial"/>
        <b/>
        <color theme="1"/>
        <sz val="12.0"/>
      </rPr>
      <t>Proyecto 4</t>
    </r>
  </si>
  <si>
    <r>
      <rPr>
        <rFont val="Arial"/>
        <b/>
        <color rgb="FF467886"/>
        <sz val="12.0"/>
        <u/>
      </rPr>
      <t>Proyecto presencial</t>
    </r>
    <r>
      <rPr>
        <rFont val="Arial"/>
        <color rgb="FF467886"/>
        <sz val="12.0"/>
        <u/>
      </rPr>
      <t xml:space="preserve">: Cargar PDF de respuestas escaneadas de la Evaluación de satisfacción aplicada
</t>
    </r>
    <r>
      <rPr>
        <rFont val="Arial"/>
        <b/>
        <color rgb="FF467886"/>
        <sz val="12.0"/>
        <u/>
      </rPr>
      <t xml:space="preserve">Proyecto virtual: </t>
    </r>
    <r>
      <rPr>
        <rFont val="Arial"/>
        <color rgb="FF467886"/>
        <sz val="12.0"/>
        <u/>
      </rPr>
      <t xml:space="preserve">Cargar Excel formulario de respuestas de la Evaluación de satisfacción aplicada
Link formatos ejemplo ubicado en la carpeta Documentos Generales - Evaluación de satisfacción: </t>
    </r>
    <r>
      <rPr>
        <rFont val="Arial"/>
        <color rgb="FF1155CC"/>
        <sz val="12.0"/>
        <u/>
      </rPr>
      <t>https://drive.google.com/drive/folders/1Td1fGiV2CCUfaTX8ixniPdiRrFpj5k6D?usp=drive_link</t>
    </r>
  </si>
  <si>
    <r>
      <rPr>
        <rFont val="Arial"/>
        <color theme="1"/>
        <sz val="12.0"/>
      </rPr>
      <t xml:space="preserve">Aplicar la </t>
    </r>
    <r>
      <rPr>
        <rFont val="Arial"/>
        <b/>
        <color theme="1"/>
        <sz val="12.0"/>
      </rPr>
      <t xml:space="preserve">Medición Apropiación de Conocimiento </t>
    </r>
    <r>
      <rPr>
        <rFont val="Arial"/>
        <color theme="1"/>
        <sz val="12.0"/>
      </rPr>
      <t xml:space="preserve">y cargar en drive el consolidado
</t>
    </r>
    <r>
      <rPr>
        <rFont val="Arial"/>
        <b/>
        <color theme="1"/>
        <sz val="12.0"/>
      </rPr>
      <t>Proyecto 1</t>
    </r>
  </si>
  <si>
    <r>
      <rPr>
        <rFont val="Arial"/>
        <color theme="1"/>
        <sz val="12.0"/>
      </rPr>
      <t xml:space="preserve">Medición de entendimiento aplicada
</t>
    </r>
    <r>
      <rPr>
        <rFont val="Arial"/>
        <b/>
        <color theme="1"/>
        <sz val="12.0"/>
      </rPr>
      <t>Proyecto presencial:</t>
    </r>
    <r>
      <rPr>
        <rFont val="Arial"/>
        <color theme="1"/>
        <sz val="12.0"/>
      </rPr>
      <t xml:space="preserve"> Cargar PDF de respuestas escaneadas y calificadas
</t>
    </r>
    <r>
      <rPr>
        <rFont val="Arial"/>
        <b/>
        <color theme="1"/>
        <sz val="12.0"/>
      </rPr>
      <t>Proyecto virtual:</t>
    </r>
    <r>
      <rPr>
        <rFont val="Arial"/>
        <color theme="1"/>
        <sz val="12.0"/>
      </rPr>
      <t xml:space="preserve"> Cargar Excel formulario de respuestas de la medición de entendimiento aplicada</t>
    </r>
  </si>
  <si>
    <r>
      <rPr>
        <rFont val="Arial"/>
        <color theme="1"/>
        <sz val="12.0"/>
      </rPr>
      <t xml:space="preserve">Aplicar la </t>
    </r>
    <r>
      <rPr>
        <rFont val="Arial"/>
        <b/>
        <color theme="1"/>
        <sz val="12.0"/>
      </rPr>
      <t xml:space="preserve">Medición Apropiación de Conocimiento </t>
    </r>
    <r>
      <rPr>
        <rFont val="Arial"/>
        <color theme="1"/>
        <sz val="12.0"/>
      </rPr>
      <t xml:space="preserve">y cargar en drive el consolidado
</t>
    </r>
    <r>
      <rPr>
        <rFont val="Arial"/>
        <b/>
        <color theme="1"/>
        <sz val="12.0"/>
      </rPr>
      <t>Proyecto 2</t>
    </r>
  </si>
  <si>
    <r>
      <rPr>
        <rFont val="Arial"/>
        <color theme="1"/>
        <sz val="12.0"/>
      </rPr>
      <t xml:space="preserve">Medición de entendimiento aplicada
</t>
    </r>
    <r>
      <rPr>
        <rFont val="Arial"/>
        <b/>
        <color theme="1"/>
        <sz val="12.0"/>
      </rPr>
      <t>Proyecto presencial:</t>
    </r>
    <r>
      <rPr>
        <rFont val="Arial"/>
        <color theme="1"/>
        <sz val="12.0"/>
      </rPr>
      <t xml:space="preserve"> Cargar PDF de respuestas escaneadas y calificadas
</t>
    </r>
    <r>
      <rPr>
        <rFont val="Arial"/>
        <b/>
        <color theme="1"/>
        <sz val="12.0"/>
      </rPr>
      <t>Proyecto virtual:</t>
    </r>
    <r>
      <rPr>
        <rFont val="Arial"/>
        <color theme="1"/>
        <sz val="12.0"/>
      </rPr>
      <t xml:space="preserve"> Cargar Excel formulario de respuestas de la medición de entendimiento aplicada</t>
    </r>
  </si>
  <si>
    <r>
      <rPr>
        <rFont val="Arial"/>
        <color theme="1"/>
        <sz val="12.0"/>
      </rPr>
      <t xml:space="preserve">Aplicar la </t>
    </r>
    <r>
      <rPr>
        <rFont val="Arial"/>
        <b/>
        <color theme="1"/>
        <sz val="12.0"/>
      </rPr>
      <t xml:space="preserve">Medición Apropiación de Conocimiento </t>
    </r>
    <r>
      <rPr>
        <rFont val="Arial"/>
        <color theme="1"/>
        <sz val="12.0"/>
      </rPr>
      <t xml:space="preserve">y cargar en drive el consolidado
</t>
    </r>
    <r>
      <rPr>
        <rFont val="Arial"/>
        <b/>
        <color theme="1"/>
        <sz val="12.0"/>
      </rPr>
      <t>Proyecto 3</t>
    </r>
  </si>
  <si>
    <r>
      <rPr>
        <rFont val="Arial"/>
        <color theme="1"/>
        <sz val="12.0"/>
      </rPr>
      <t xml:space="preserve">Medición de entendimiento aplicada
</t>
    </r>
    <r>
      <rPr>
        <rFont val="Arial"/>
        <b/>
        <color theme="1"/>
        <sz val="12.0"/>
      </rPr>
      <t>Proyecto presencial:</t>
    </r>
    <r>
      <rPr>
        <rFont val="Arial"/>
        <color theme="1"/>
        <sz val="12.0"/>
      </rPr>
      <t xml:space="preserve"> Cargar PDF de respuestas escaneadas y calificadas
</t>
    </r>
    <r>
      <rPr>
        <rFont val="Arial"/>
        <b/>
        <color theme="1"/>
        <sz val="12.0"/>
      </rPr>
      <t>Proyecto virtual:</t>
    </r>
    <r>
      <rPr>
        <rFont val="Arial"/>
        <color theme="1"/>
        <sz val="12.0"/>
      </rPr>
      <t xml:space="preserve"> Cargar Excel formulario de respuestas de la medición de entendimiento aplicada</t>
    </r>
  </si>
  <si>
    <r>
      <rPr>
        <rFont val="Arial"/>
        <color theme="1"/>
        <sz val="12.0"/>
      </rPr>
      <t xml:space="preserve">Aplicar la </t>
    </r>
    <r>
      <rPr>
        <rFont val="Arial"/>
        <b/>
        <color theme="1"/>
        <sz val="12.0"/>
      </rPr>
      <t xml:space="preserve">Medición Apropiación de Conocimiento </t>
    </r>
    <r>
      <rPr>
        <rFont val="Arial"/>
        <color theme="1"/>
        <sz val="12.0"/>
      </rPr>
      <t xml:space="preserve">y cargar en drive el consolidado
</t>
    </r>
    <r>
      <rPr>
        <rFont val="Arial"/>
        <b/>
        <color theme="1"/>
        <sz val="12.0"/>
      </rPr>
      <t>Proyecto 4</t>
    </r>
  </si>
  <si>
    <r>
      <rPr>
        <rFont val="Arial"/>
        <color theme="1"/>
        <sz val="12.0"/>
      </rPr>
      <t xml:space="preserve">Medición de entendimiento aplicada
</t>
    </r>
    <r>
      <rPr>
        <rFont val="Arial"/>
        <b/>
        <color theme="1"/>
        <sz val="12.0"/>
      </rPr>
      <t>Proyecto presencial:</t>
    </r>
    <r>
      <rPr>
        <rFont val="Arial"/>
        <color theme="1"/>
        <sz val="12.0"/>
      </rPr>
      <t xml:space="preserve"> Cargar PDF de respuestas escaneadas y calificadas
</t>
    </r>
    <r>
      <rPr>
        <rFont val="Arial"/>
        <b/>
        <color theme="1"/>
        <sz val="12.0"/>
      </rPr>
      <t>Proyecto virtual:</t>
    </r>
    <r>
      <rPr>
        <rFont val="Arial"/>
        <color theme="1"/>
        <sz val="12.0"/>
      </rPr>
      <t xml:space="preserve"> Cargar Excel formulario de respuestas de la medición de entendimiento aplicada</t>
    </r>
  </si>
  <si>
    <r>
      <rPr>
        <rFont val="Arial"/>
        <color theme="1"/>
        <sz val="12.0"/>
      </rPr>
      <t xml:space="preserve">Aplicar y cargar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</t>
    </r>
    <r>
      <rPr>
        <rFont val="Arial"/>
        <b/>
        <color theme="1"/>
        <sz val="12.0"/>
      </rPr>
      <t>Proyecto 1</t>
    </r>
  </si>
  <si>
    <r>
      <rPr>
        <rFont val="Arial"/>
        <b/>
        <color theme="1"/>
        <sz val="12.0"/>
      </rPr>
      <t xml:space="preserve">Proyecto presencial: </t>
    </r>
    <r>
      <rPr>
        <rFont val="Arial"/>
        <color theme="1"/>
        <sz val="12.0"/>
      </rPr>
      <t xml:space="preserve">Cargar PDF de los listados de asistencia escaneados (diligenciados por parte de los participantes)
</t>
    </r>
    <r>
      <rPr>
        <rFont val="Arial"/>
        <b/>
        <color theme="1"/>
        <sz val="12.0"/>
      </rPr>
      <t>Proyecto virtual</t>
    </r>
    <r>
      <rPr>
        <rFont val="Arial"/>
        <color theme="1"/>
        <sz val="12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2.0"/>
      </rPr>
      <t>Solo está permitido hacer uso de los formatos establecidos por el área</t>
    </r>
    <r>
      <rPr>
        <rFont val="Arial"/>
        <color theme="1"/>
        <sz val="12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</si>
  <si>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r>
      <rPr>
        <rFont val="Arial"/>
        <color theme="1"/>
        <sz val="12.0"/>
      </rPr>
      <t xml:space="preserve">Aplicar y cargar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</t>
    </r>
    <r>
      <rPr>
        <rFont val="Arial"/>
        <b/>
        <color theme="1"/>
        <sz val="12.0"/>
      </rPr>
      <t>Proyecto 2</t>
    </r>
  </si>
  <si>
    <r>
      <rPr>
        <rFont val="Arial"/>
        <b/>
        <color theme="1"/>
        <sz val="12.0"/>
      </rPr>
      <t xml:space="preserve">Proyecto presencial: </t>
    </r>
    <r>
      <rPr>
        <rFont val="Arial"/>
        <color theme="1"/>
        <sz val="12.0"/>
      </rPr>
      <t xml:space="preserve">Cargar PDF de los listados de asistencia escaneados (diligenciados por parte de los participantes)
</t>
    </r>
    <r>
      <rPr>
        <rFont val="Arial"/>
        <b/>
        <color theme="1"/>
        <sz val="12.0"/>
      </rPr>
      <t>Proyecto virtual</t>
    </r>
    <r>
      <rPr>
        <rFont val="Arial"/>
        <color theme="1"/>
        <sz val="12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2.0"/>
      </rPr>
      <t>Solo está permitido hacer uso de los formatos establecidos por el área</t>
    </r>
    <r>
      <rPr>
        <rFont val="Arial"/>
        <color theme="1"/>
        <sz val="12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</si>
  <si>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r>
      <rPr>
        <rFont val="Arial"/>
        <color theme="1"/>
        <sz val="12.0"/>
      </rPr>
      <t xml:space="preserve">Aplicar y cargar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</t>
    </r>
    <r>
      <rPr>
        <rFont val="Arial"/>
        <b/>
        <color theme="1"/>
        <sz val="12.0"/>
      </rPr>
      <t>Proyecto 3</t>
    </r>
  </si>
  <si>
    <r>
      <rPr>
        <rFont val="Arial"/>
        <b/>
        <color theme="1"/>
        <sz val="12.0"/>
      </rPr>
      <t xml:space="preserve">Proyecto presencial: </t>
    </r>
    <r>
      <rPr>
        <rFont val="Arial"/>
        <color theme="1"/>
        <sz val="12.0"/>
      </rPr>
      <t xml:space="preserve">Cargar PDF de los listados de asistencia escaneados (diligenciados por parte de los participantes)
</t>
    </r>
    <r>
      <rPr>
        <rFont val="Arial"/>
        <b/>
        <color theme="1"/>
        <sz val="12.0"/>
      </rPr>
      <t>Proyecto virtual</t>
    </r>
    <r>
      <rPr>
        <rFont val="Arial"/>
        <color theme="1"/>
        <sz val="12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2.0"/>
      </rPr>
      <t>Solo está permitido hacer uso de los formatos establecidos por el área</t>
    </r>
    <r>
      <rPr>
        <rFont val="Arial"/>
        <color theme="1"/>
        <sz val="12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</si>
  <si>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r>
      <rPr>
        <rFont val="Arial"/>
        <color theme="1"/>
        <sz val="12.0"/>
      </rPr>
      <t xml:space="preserve">Aplicar y cargar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</t>
    </r>
    <r>
      <rPr>
        <rFont val="Arial"/>
        <b/>
        <color theme="1"/>
        <sz val="12.0"/>
      </rPr>
      <t>Proyecto 4</t>
    </r>
  </si>
  <si>
    <r>
      <rPr>
        <rFont val="Arial"/>
        <b/>
        <color theme="1"/>
        <sz val="12.0"/>
      </rPr>
      <t xml:space="preserve">Proyecto presencial: </t>
    </r>
    <r>
      <rPr>
        <rFont val="Arial"/>
        <color theme="1"/>
        <sz val="12.0"/>
      </rPr>
      <t xml:space="preserve">Cargar PDF de los listados de asistencia escaneados (diligenciados por parte de los participantes)
</t>
    </r>
    <r>
      <rPr>
        <rFont val="Arial"/>
        <b/>
        <color theme="1"/>
        <sz val="12.0"/>
      </rPr>
      <t>Proyecto virtual</t>
    </r>
    <r>
      <rPr>
        <rFont val="Arial"/>
        <color theme="1"/>
        <sz val="12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2.0"/>
      </rPr>
      <t>Solo está permitido hacer uso de los formatos establecidos por el área</t>
    </r>
    <r>
      <rPr>
        <rFont val="Arial"/>
        <color theme="1"/>
        <sz val="12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</si>
  <si>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r>
      <rPr>
        <rFont val="Arial"/>
        <color theme="1"/>
        <sz val="12.0"/>
      </rPr>
      <t xml:space="preserve">Generar </t>
    </r>
    <r>
      <rPr>
        <rFont val="Arial"/>
        <b/>
        <color theme="1"/>
        <sz val="12.0"/>
      </rPr>
      <t>registro fotográfico y de vídeo</t>
    </r>
    <r>
      <rPr>
        <rFont val="Arial"/>
        <color theme="1"/>
        <sz val="12.0"/>
      </rPr>
      <t xml:space="preserve"> de las sesiones del proyecto
</t>
    </r>
    <r>
      <rPr>
        <rFont val="Arial"/>
        <b/>
        <color theme="1"/>
        <sz val="12.0"/>
      </rPr>
      <t>Proyecto 1</t>
    </r>
  </si>
  <si>
    <r>
      <rPr>
        <rFont val="Arial"/>
        <color theme="1"/>
        <sz val="12.0"/>
      </rPr>
      <t xml:space="preserve">Generar </t>
    </r>
    <r>
      <rPr>
        <rFont val="Arial"/>
        <b/>
        <color theme="1"/>
        <sz val="12.0"/>
      </rPr>
      <t>registro fotográfico y de vídeo</t>
    </r>
    <r>
      <rPr>
        <rFont val="Arial"/>
        <color theme="1"/>
        <sz val="12.0"/>
      </rPr>
      <t xml:space="preserve"> de las sesiones del proyecto
</t>
    </r>
    <r>
      <rPr>
        <rFont val="Arial"/>
        <b/>
        <color theme="1"/>
        <sz val="12.0"/>
      </rPr>
      <t>Proyecto 2</t>
    </r>
  </si>
  <si>
    <r>
      <rPr>
        <rFont val="Arial"/>
        <color theme="1"/>
        <sz val="12.0"/>
      </rPr>
      <t xml:space="preserve">Generar </t>
    </r>
    <r>
      <rPr>
        <rFont val="Arial"/>
        <b/>
        <color theme="1"/>
        <sz val="12.0"/>
      </rPr>
      <t>registro fotográfico y de vídeo</t>
    </r>
    <r>
      <rPr>
        <rFont val="Arial"/>
        <color theme="1"/>
        <sz val="12.0"/>
      </rPr>
      <t xml:space="preserve"> de las sesiones del proyecto
</t>
    </r>
    <r>
      <rPr>
        <rFont val="Arial"/>
        <b/>
        <color theme="1"/>
        <sz val="12.0"/>
      </rPr>
      <t>Proyecto 3</t>
    </r>
  </si>
  <si>
    <r>
      <rPr>
        <rFont val="Arial"/>
        <color theme="1"/>
        <sz val="12.0"/>
      </rPr>
      <t xml:space="preserve">Generar </t>
    </r>
    <r>
      <rPr>
        <rFont val="Arial"/>
        <b/>
        <color theme="1"/>
        <sz val="12.0"/>
      </rPr>
      <t>registro fotográfico y de vídeo</t>
    </r>
    <r>
      <rPr>
        <rFont val="Arial"/>
        <color theme="1"/>
        <sz val="12.0"/>
      </rPr>
      <t xml:space="preserve"> de las sesiones del proyecto
</t>
    </r>
    <r>
      <rPr>
        <rFont val="Arial"/>
        <b/>
        <color theme="1"/>
        <sz val="12.0"/>
      </rPr>
      <t>Proyecto 4</t>
    </r>
  </si>
  <si>
    <r>
      <rPr>
        <rFont val="Arial"/>
        <color theme="1"/>
        <sz val="12.0"/>
      </rPr>
      <t xml:space="preserve">Garantizar la </t>
    </r>
    <r>
      <rPr>
        <rFont val="Arial"/>
        <b/>
        <color theme="1"/>
        <sz val="12.0"/>
      </rPr>
      <t>Nota concepto del proyecto firmada</t>
    </r>
    <r>
      <rPr>
        <rFont val="Arial"/>
        <color theme="1"/>
        <sz val="12.0"/>
      </rPr>
      <t xml:space="preserve"> por docente y actor externo
</t>
    </r>
    <r>
      <rPr>
        <rFont val="Arial"/>
        <b/>
        <color theme="1"/>
        <sz val="12.0"/>
      </rPr>
      <t>Proyecto 1</t>
    </r>
  </si>
  <si>
    <t>Cargar PDF Nota concepto del proyecto firmada por docente y actor externo</t>
  </si>
  <si>
    <r>
      <rPr>
        <rFont val="Arial"/>
        <color theme="1"/>
        <sz val="12.0"/>
      </rPr>
      <t xml:space="preserve">Garantizar la </t>
    </r>
    <r>
      <rPr>
        <rFont val="Arial"/>
        <b/>
        <color theme="1"/>
        <sz val="12.0"/>
      </rPr>
      <t>Nota concepto del proyecto firmada</t>
    </r>
    <r>
      <rPr>
        <rFont val="Arial"/>
        <color theme="1"/>
        <sz val="12.0"/>
      </rPr>
      <t xml:space="preserve"> por docente y actor externo
</t>
    </r>
    <r>
      <rPr>
        <rFont val="Arial"/>
        <b/>
        <color theme="1"/>
        <sz val="12.0"/>
      </rPr>
      <t>Proyecto 2</t>
    </r>
  </si>
  <si>
    <r>
      <rPr>
        <rFont val="Arial"/>
        <color theme="1"/>
        <sz val="12.0"/>
      </rPr>
      <t xml:space="preserve">Garantizar la </t>
    </r>
    <r>
      <rPr>
        <rFont val="Arial"/>
        <b/>
        <color theme="1"/>
        <sz val="12.0"/>
      </rPr>
      <t>Nota concepto del proyecto firmada</t>
    </r>
    <r>
      <rPr>
        <rFont val="Arial"/>
        <color theme="1"/>
        <sz val="12.0"/>
      </rPr>
      <t xml:space="preserve"> por docente y actor externo
</t>
    </r>
    <r>
      <rPr>
        <rFont val="Arial"/>
        <b/>
        <color theme="1"/>
        <sz val="12.0"/>
      </rPr>
      <t>Proyecto 3</t>
    </r>
  </si>
  <si>
    <r>
      <rPr>
        <rFont val="Arial"/>
        <color theme="1"/>
        <sz val="12.0"/>
      </rPr>
      <t xml:space="preserve">Garantizar la </t>
    </r>
    <r>
      <rPr>
        <rFont val="Arial"/>
        <b/>
        <color theme="1"/>
        <sz val="12.0"/>
      </rPr>
      <t>Nota concepto del proyecto firmada</t>
    </r>
    <r>
      <rPr>
        <rFont val="Arial"/>
        <color theme="1"/>
        <sz val="12.0"/>
      </rPr>
      <t xml:space="preserve"> por docente y actor externo
</t>
    </r>
    <r>
      <rPr>
        <rFont val="Arial"/>
        <b/>
        <color theme="1"/>
        <sz val="12.0"/>
      </rPr>
      <t>Proyecto 4</t>
    </r>
  </si>
  <si>
    <r>
      <rPr>
        <rFont val="Arial"/>
        <color theme="1"/>
        <sz val="12.0"/>
      </rPr>
      <t xml:space="preserve">Elaborar y aplicar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Diligenciar la </t>
    </r>
    <r>
      <rPr>
        <rFont val="Arial"/>
        <b/>
        <color theme="1"/>
        <sz val="12.0"/>
      </rPr>
      <t>planilla de certificación SNIES 
Proyecto #1</t>
    </r>
  </si>
  <si>
    <r>
      <rPr>
        <rFont val="Arial"/>
        <b/>
        <color rgb="FF1155CC"/>
        <sz val="12.0"/>
        <u/>
      </rPr>
      <t>Actividad presencial:</t>
    </r>
    <r>
      <rPr>
        <rFont val="Arial"/>
        <color rgb="FF1155CC"/>
        <sz val="12.0"/>
        <u/>
      </rPr>
      <t xml:space="preserve"> Cargar PDF del listado de asistencia escaneado (diligenciado por parte de los participantes)
</t>
    </r>
    <r>
      <rPr>
        <rFont val="Arial"/>
        <b/>
        <color rgb="FF1155CC"/>
        <sz val="12.0"/>
        <u/>
      </rPr>
      <t xml:space="preserve">Actividad virtual: </t>
    </r>
    <r>
      <rPr>
        <rFont val="Arial"/>
        <color rgb="FF1155CC"/>
        <sz val="12.0"/>
        <u/>
      </rPr>
      <t xml:space="preserve">Cargar Excel de asistencia de cada sesión del proyecto (diligenciado por parte de los participantes)
Cargar </t>
    </r>
    <r>
      <rPr>
        <rFont val="Arial"/>
        <b/>
        <color rgb="FF1155CC"/>
        <sz val="12.0"/>
        <u/>
      </rPr>
      <t>planilla de certificación SNIES</t>
    </r>
    <r>
      <rPr>
        <rFont val="Arial"/>
        <color rgb="FF1155CC"/>
        <sz val="12.0"/>
        <u/>
      </rPr>
      <t xml:space="preserve"> con la totalidad de participantes a certificar, con previa verificación de nombres y apellidos de los participantes en página de la Polícia y cruce de asistencias para determinar quienes cumplen el requisito de participación para certificarse
Link ejemplo ubicado en la carpeta Documentos Generales - Planilla de certificación SNIES:
</t>
    </r>
    <r>
      <rPr>
        <rFont val="Arial"/>
        <color rgb="FF1155CC"/>
        <sz val="12.0"/>
        <u/>
      </rPr>
      <t>https://drive.google.com/drive/u/0/folders/1HGFPCEiqq_Rnp4OqK3u8NrQbcwy3kLSZ</t>
    </r>
  </si>
  <si>
    <r>
      <rPr>
        <rFont val="Arial"/>
        <color theme="1"/>
        <sz val="12.0"/>
      </rPr>
      <t xml:space="preserve">Elaborar y aplicar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Diligenciar la </t>
    </r>
    <r>
      <rPr>
        <rFont val="Arial"/>
        <b/>
        <color theme="1"/>
        <sz val="12.0"/>
      </rPr>
      <t>planilla de certificación SNIES 
Proyecto #2</t>
    </r>
  </si>
  <si>
    <r>
      <rPr>
        <rFont val="Arial"/>
        <b/>
        <color rgb="FF1155CC"/>
        <sz val="12.0"/>
        <u/>
      </rPr>
      <t>Actividad presencial:</t>
    </r>
    <r>
      <rPr>
        <rFont val="Arial"/>
        <color rgb="FF1155CC"/>
        <sz val="12.0"/>
        <u/>
      </rPr>
      <t xml:space="preserve"> Cargar PDF del listado de asistencia escaneado (diligenciado por parte de los participantes)
</t>
    </r>
    <r>
      <rPr>
        <rFont val="Arial"/>
        <b/>
        <color rgb="FF1155CC"/>
        <sz val="12.0"/>
        <u/>
      </rPr>
      <t xml:space="preserve">Actividad virtual: </t>
    </r>
    <r>
      <rPr>
        <rFont val="Arial"/>
        <color rgb="FF1155CC"/>
        <sz val="12.0"/>
        <u/>
      </rPr>
      <t xml:space="preserve">Cargar Excel de asistencia de cada sesión del proyecto (diligenciado por parte de los participantes)
Cargar </t>
    </r>
    <r>
      <rPr>
        <rFont val="Arial"/>
        <b/>
        <color rgb="FF1155CC"/>
        <sz val="12.0"/>
        <u/>
      </rPr>
      <t>planilla de certificación SNIES</t>
    </r>
    <r>
      <rPr>
        <rFont val="Arial"/>
        <color rgb="FF1155CC"/>
        <sz val="12.0"/>
        <u/>
      </rPr>
      <t xml:space="preserve"> con la totalidad de participantes a certificar, con previa verificación de nombres y apellidos de los participantes en página de la Polícia y cruce de asistencias para determinar quienes cumplen el requisito de participación para certificarse
Link ejemplo ubicado en la carpeta Documentos Generales - Planilla de certificación SNIES:
</t>
    </r>
    <r>
      <rPr>
        <rFont val="Arial"/>
        <color rgb="FF1155CC"/>
        <sz val="12.0"/>
        <u/>
      </rPr>
      <t>https://drive.google.com/drive/u/0/folders/1HGFPCEiqq_Rnp4OqK3u8NrQbcwy3kLSZ</t>
    </r>
  </si>
  <si>
    <r>
      <rPr>
        <rFont val="Arial"/>
        <color theme="1"/>
        <sz val="12.0"/>
      </rPr>
      <t xml:space="preserve">Elaborar y aplicar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Diligenciar la </t>
    </r>
    <r>
      <rPr>
        <rFont val="Arial"/>
        <b/>
        <color theme="1"/>
        <sz val="12.0"/>
      </rPr>
      <t>planilla de certificación SNIES 
Proyecto #3</t>
    </r>
  </si>
  <si>
    <r>
      <rPr>
        <rFont val="Arial"/>
        <b/>
        <color rgb="FF1155CC"/>
        <sz val="12.0"/>
        <u/>
      </rPr>
      <t>Actividad presencial:</t>
    </r>
    <r>
      <rPr>
        <rFont val="Arial"/>
        <color rgb="FF1155CC"/>
        <sz val="12.0"/>
        <u/>
      </rPr>
      <t xml:space="preserve"> Cargar PDF del listado de asistencia escaneado (diligenciado por parte de los participantes)
</t>
    </r>
    <r>
      <rPr>
        <rFont val="Arial"/>
        <b/>
        <color rgb="FF1155CC"/>
        <sz val="12.0"/>
        <u/>
      </rPr>
      <t xml:space="preserve">Actividad virtual: </t>
    </r>
    <r>
      <rPr>
        <rFont val="Arial"/>
        <color rgb="FF1155CC"/>
        <sz val="12.0"/>
        <u/>
      </rPr>
      <t xml:space="preserve">Cargar Excel de asistencia de cada sesión del proyecto (diligenciado por parte de los participantes)
Cargar </t>
    </r>
    <r>
      <rPr>
        <rFont val="Arial"/>
        <b/>
        <color rgb="FF1155CC"/>
        <sz val="12.0"/>
        <u/>
      </rPr>
      <t>planilla de certificación SNIES</t>
    </r>
    <r>
      <rPr>
        <rFont val="Arial"/>
        <color rgb="FF1155CC"/>
        <sz val="12.0"/>
        <u/>
      </rPr>
      <t xml:space="preserve"> con la totalidad de participantes a certificar, con previa verificación de nombres y apellidos de los participantes en página de la Polícia y cruce de asistencias para determinar quienes cumplen el requisito de participación para certificarse
Link ejemplo ubicado en la carpeta Documentos Generales - Planilla de certificación SNIES:
</t>
    </r>
    <r>
      <rPr>
        <rFont val="Arial"/>
        <color rgb="FF1155CC"/>
        <sz val="12.0"/>
        <u/>
      </rPr>
      <t>https://drive.google.com/drive/u/0/folders/1HGFPCEiqq_Rnp4OqK3u8NrQbcwy3kLSZ</t>
    </r>
  </si>
  <si>
    <r>
      <rPr>
        <rFont val="Arial"/>
        <color theme="1"/>
        <sz val="12.0"/>
      </rPr>
      <t xml:space="preserve">Elaborar y aplicar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Diligenciar la </t>
    </r>
    <r>
      <rPr>
        <rFont val="Arial"/>
        <b/>
        <color theme="1"/>
        <sz val="12.0"/>
      </rPr>
      <t>planilla de certificación SNIES 
Proyecto 4</t>
    </r>
  </si>
  <si>
    <r>
      <rPr>
        <rFont val="Arial"/>
        <b/>
        <color rgb="FF1155CC"/>
        <sz val="12.0"/>
        <u/>
      </rPr>
      <t>Actividad presencial:</t>
    </r>
    <r>
      <rPr>
        <rFont val="Arial"/>
        <color rgb="FF1155CC"/>
        <sz val="12.0"/>
        <u/>
      </rPr>
      <t xml:space="preserve"> Cargar PDF del listado de asistencia escaneado (diligenciado por parte de los participantes)
</t>
    </r>
    <r>
      <rPr>
        <rFont val="Arial"/>
        <b/>
        <color rgb="FF1155CC"/>
        <sz val="12.0"/>
        <u/>
      </rPr>
      <t xml:space="preserve">Actividad virtual: </t>
    </r>
    <r>
      <rPr>
        <rFont val="Arial"/>
        <color rgb="FF1155CC"/>
        <sz val="12.0"/>
        <u/>
      </rPr>
      <t xml:space="preserve">Cargar Excel de asistencia de cada sesión del proyecto (diligenciado por parte de los participantes)
Cargar </t>
    </r>
    <r>
      <rPr>
        <rFont val="Arial"/>
        <b/>
        <color rgb="FF1155CC"/>
        <sz val="12.0"/>
        <u/>
      </rPr>
      <t>planilla de certificación SNIES</t>
    </r>
    <r>
      <rPr>
        <rFont val="Arial"/>
        <color rgb="FF1155CC"/>
        <sz val="12.0"/>
        <u/>
      </rPr>
      <t xml:space="preserve"> con la totalidad de participantes a certificar, con previa verificación de nombres y apellidos de los participantes en página de la Polícia y cruce de asistencias para determinar quienes cumplen el requisito de participación para certificarse
Link ejemplo ubicado en la carpeta Documentos Generales - Planilla de certificación SNIES:
</t>
    </r>
    <r>
      <rPr>
        <rFont val="Arial"/>
        <color rgb="FF1155CC"/>
        <sz val="12.0"/>
        <u/>
      </rPr>
      <t>https://drive.google.com/drive/u/0/folders/1HGFPCEiqq_Rnp4OqK3u8NrQbcwy3kLSZ</t>
    </r>
  </si>
  <si>
    <t>ACTIVIDADES</t>
  </si>
  <si>
    <t>ACTIVIDAD 1</t>
  </si>
  <si>
    <t>ACTIVIDAD 2</t>
  </si>
  <si>
    <t>ACTIVIDAD 3</t>
  </si>
  <si>
    <t>ACTIVIDAD 4</t>
  </si>
  <si>
    <t>ACTIVIDAD 5</t>
  </si>
  <si>
    <t>ACTIVIDAD 6</t>
  </si>
  <si>
    <t>ACTIVIDAD 7</t>
  </si>
  <si>
    <t>ENTREGABLE</t>
  </si>
  <si>
    <t>DESCRIPCIÓN</t>
  </si>
  <si>
    <r>
      <rPr>
        <rFont val="Arial"/>
        <color theme="1"/>
        <sz val="12.0"/>
      </rPr>
      <t xml:space="preserve">  Diligenciar el link </t>
    </r>
    <r>
      <rPr>
        <rFont val="Arial"/>
        <b/>
        <color theme="1"/>
        <sz val="12.0"/>
      </rPr>
      <t>Solicitud de pieza comunicacional</t>
    </r>
    <r>
      <rPr>
        <rFont val="Arial"/>
        <color theme="1"/>
        <sz val="12.0"/>
      </rPr>
      <t xml:space="preserve">, el cual a su vez, debe incluir el link del </t>
    </r>
    <r>
      <rPr>
        <rFont val="Arial"/>
        <b/>
        <color theme="1"/>
        <sz val="12.0"/>
      </rPr>
      <t xml:space="preserve">formulario de inscripción </t>
    </r>
    <r>
      <rPr>
        <rFont val="Arial"/>
        <color theme="1"/>
        <sz val="12.0"/>
      </rPr>
      <t xml:space="preserve">en editable para los usuarios maria_lopezr@cun.edu.co, proyeccion_social@cun.edu.co y liliana_villamizar@cun.edu.co
</t>
    </r>
    <r>
      <rPr>
        <rFont val="Arial"/>
        <b/>
        <color theme="1"/>
        <sz val="12.0"/>
      </rPr>
      <t>Actividad #1</t>
    </r>
  </si>
  <si>
    <r>
      <rPr>
        <rFont val="Arial"/>
        <color rgb="FF000000"/>
        <sz val="12.0"/>
        <u/>
      </rPr>
      <t xml:space="preserve">Diligenciar formulario de solicitud de pieza comunicacional, el cual contiene a su vez, el link del formulario de inscripción en editable  y cargar una captura de pantalla del diligenciamiento de formulario.. 
</t>
    </r>
    <r>
      <rPr>
        <rFont val="Arial"/>
        <sz val="12.0"/>
      </rPr>
      <t xml:space="preserve">- Link de formulario: </t>
    </r>
    <r>
      <rPr>
        <rFont val="Arial"/>
        <color rgb="FF1155CC"/>
        <sz val="12.0"/>
        <u/>
      </rPr>
      <t>https://forms.gle/fWBhN7Ttu7YBM1UL8</t>
    </r>
    <r>
      <rPr>
        <rFont val="Arial"/>
        <sz val="12.0"/>
      </rPr>
      <t xml:space="preserve"> 
- Link carpeta: </t>
    </r>
    <r>
      <rPr>
        <rFont val="Arial"/>
        <color rgb="FF1155CC"/>
        <sz val="12.0"/>
        <u/>
      </rPr>
      <t>https://drive.google.com/drive/u/1/folders/1iEOBvCzYkdliL2H4d7TrZAkcIH2dLl8B</t>
    </r>
  </si>
  <si>
    <r>
      <rPr>
        <rFont val="Arial"/>
        <color theme="1"/>
        <sz val="12.0"/>
      </rPr>
      <t xml:space="preserve">  Diligenciar el link </t>
    </r>
    <r>
      <rPr>
        <rFont val="Arial"/>
        <b/>
        <color theme="1"/>
        <sz val="12.0"/>
      </rPr>
      <t>Solicitud de pieza comunicacional</t>
    </r>
    <r>
      <rPr>
        <rFont val="Arial"/>
        <color theme="1"/>
        <sz val="12.0"/>
      </rPr>
      <t xml:space="preserve">, el cual a su vez, debe incluir el link del </t>
    </r>
    <r>
      <rPr>
        <rFont val="Arial"/>
        <b/>
        <color theme="1"/>
        <sz val="12.0"/>
      </rPr>
      <t xml:space="preserve">formulario de inscripción </t>
    </r>
    <r>
      <rPr>
        <rFont val="Arial"/>
        <color theme="1"/>
        <sz val="12.0"/>
      </rPr>
      <t xml:space="preserve">en editable para los usuarios maria_lopezr@cun.edu.co, proyeccion_social@cun.edu.co y liliana_villamizar@cun.edu.co
</t>
    </r>
    <r>
      <rPr>
        <rFont val="Arial"/>
        <b/>
        <color theme="1"/>
        <sz val="12.0"/>
      </rPr>
      <t>Actividad #2</t>
    </r>
  </si>
  <si>
    <r>
      <rPr>
        <rFont val="Arial"/>
        <color rgb="FF000000"/>
        <sz val="12.0"/>
        <u/>
      </rPr>
      <t xml:space="preserve">Diligenciar formulario de solicitud de pieza comunicacional, el cual contiene a su vez, el link del formulario de inscripción en editable  y cargar una captura de pantalla del diligenciamiento de formulario.. 
</t>
    </r>
    <r>
      <rPr>
        <rFont val="Arial"/>
        <sz val="12.0"/>
      </rPr>
      <t xml:space="preserve">- Link de formulario: </t>
    </r>
    <r>
      <rPr>
        <rFont val="Arial"/>
        <color rgb="FF1155CC"/>
        <sz val="12.0"/>
        <u/>
      </rPr>
      <t>https://forms.gle/fWBhN7Ttu7YBM1UL8</t>
    </r>
    <r>
      <rPr>
        <rFont val="Arial"/>
        <sz val="12.0"/>
      </rPr>
      <t xml:space="preserve"> 
- Link carpeta: </t>
    </r>
    <r>
      <rPr>
        <rFont val="Arial"/>
        <color rgb="FF1155CC"/>
        <sz val="12.0"/>
        <u/>
      </rPr>
      <t>https://drive.google.com/drive/u/1/folders/1iEOBvCzYkdliL2H4d7TrZAkcIH2dLl8B</t>
    </r>
  </si>
  <si>
    <r>
      <rPr>
        <rFont val="Arial"/>
        <color theme="1"/>
        <sz val="12.0"/>
      </rPr>
      <t xml:space="preserve">  Diligenciar el link </t>
    </r>
    <r>
      <rPr>
        <rFont val="Arial"/>
        <b/>
        <color theme="1"/>
        <sz val="12.0"/>
      </rPr>
      <t>Solicitud de pieza comunicacional</t>
    </r>
    <r>
      <rPr>
        <rFont val="Arial"/>
        <color theme="1"/>
        <sz val="12.0"/>
      </rPr>
      <t xml:space="preserve">, el cual a su vez, debe incluir el link del </t>
    </r>
    <r>
      <rPr>
        <rFont val="Arial"/>
        <b/>
        <color theme="1"/>
        <sz val="12.0"/>
      </rPr>
      <t xml:space="preserve">formulario de inscripción </t>
    </r>
    <r>
      <rPr>
        <rFont val="Arial"/>
        <color theme="1"/>
        <sz val="12.0"/>
      </rPr>
      <t xml:space="preserve">en editable para los usuarios maria_lopezr@cun.edu.co, proyeccion_social@cun.edu.co y liliana_villamizar@cun.edu.co
</t>
    </r>
    <r>
      <rPr>
        <rFont val="Arial"/>
        <b/>
        <color theme="1"/>
        <sz val="12.0"/>
      </rPr>
      <t>Actividad #3</t>
    </r>
  </si>
  <si>
    <r>
      <rPr>
        <rFont val="Arial"/>
        <color rgb="FF000000"/>
        <sz val="12.0"/>
        <u/>
      </rPr>
      <t xml:space="preserve">Diligenciar formulario de solicitud de pieza comunicacional, el cual contiene a su vez, el link del formulario de inscripción en editable  y cargar una captura de pantalla del diligenciamiento de formulario.. 
</t>
    </r>
    <r>
      <rPr>
        <rFont val="Arial"/>
        <sz val="12.0"/>
      </rPr>
      <t xml:space="preserve">- Link de formulario: </t>
    </r>
    <r>
      <rPr>
        <rFont val="Arial"/>
        <color rgb="FF1155CC"/>
        <sz val="12.0"/>
        <u/>
      </rPr>
      <t>https://forms.gle/fWBhN7Ttu7YBM1UL8</t>
    </r>
    <r>
      <rPr>
        <rFont val="Arial"/>
        <sz val="12.0"/>
      </rPr>
      <t xml:space="preserve"> 
- Link carpeta: </t>
    </r>
    <r>
      <rPr>
        <rFont val="Arial"/>
        <color rgb="FF1155CC"/>
        <sz val="12.0"/>
        <u/>
      </rPr>
      <t>https://drive.google.com/drive/u/1/folders/1iEOBvCzYkdliL2H4d7TrZAkcIH2dLl8B</t>
    </r>
  </si>
  <si>
    <r>
      <rPr>
        <rFont val="Arial"/>
        <color theme="1"/>
        <sz val="12.0"/>
      </rPr>
      <t xml:space="preserve">  Diligenciar el link </t>
    </r>
    <r>
      <rPr>
        <rFont val="Arial"/>
        <b/>
        <color theme="1"/>
        <sz val="12.0"/>
      </rPr>
      <t>Solicitud de pieza comunicacional</t>
    </r>
    <r>
      <rPr>
        <rFont val="Arial"/>
        <color theme="1"/>
        <sz val="12.0"/>
      </rPr>
      <t xml:space="preserve">, el cual a su vez, debe incluir el link del </t>
    </r>
    <r>
      <rPr>
        <rFont val="Arial"/>
        <b/>
        <color theme="1"/>
        <sz val="12.0"/>
      </rPr>
      <t xml:space="preserve">formulario de inscripción </t>
    </r>
    <r>
      <rPr>
        <rFont val="Arial"/>
        <color theme="1"/>
        <sz val="12.0"/>
      </rPr>
      <t xml:space="preserve">en editable para los usuarios maria_lopezr@cun.edu.co, proyeccion_social@cun.edu.co y liliana_villamizar@cun.edu.co
</t>
    </r>
    <r>
      <rPr>
        <rFont val="Arial"/>
        <b/>
        <color theme="1"/>
        <sz val="12.0"/>
      </rPr>
      <t>Actividad #4</t>
    </r>
  </si>
  <si>
    <r>
      <rPr>
        <rFont val="Arial"/>
        <color rgb="FF000000"/>
        <sz val="12.0"/>
        <u/>
      </rPr>
      <t xml:space="preserve">Diligenciar formulario de solicitud de pieza comunicacional, el cual contiene a su vez, el link del formulario de inscripción en editable  y cargar una captura de pantalla del diligenciamiento de formulario.. 
</t>
    </r>
    <r>
      <rPr>
        <rFont val="Arial"/>
        <sz val="12.0"/>
      </rPr>
      <t xml:space="preserve">- Link de formulario: </t>
    </r>
    <r>
      <rPr>
        <rFont val="Arial"/>
        <color rgb="FF1155CC"/>
        <sz val="12.0"/>
        <u/>
      </rPr>
      <t>https://forms.gle/fWBhN7Ttu7YBM1UL8</t>
    </r>
    <r>
      <rPr>
        <rFont val="Arial"/>
        <sz val="12.0"/>
      </rPr>
      <t xml:space="preserve"> 
- Link carpeta: </t>
    </r>
    <r>
      <rPr>
        <rFont val="Arial"/>
        <color rgb="FF1155CC"/>
        <sz val="12.0"/>
        <u/>
      </rPr>
      <t>https://drive.google.com/drive/u/1/folders/1iEOBvCzYkdliL2H4d7TrZAkcIH2dLl8B</t>
    </r>
  </si>
  <si>
    <r>
      <rPr>
        <rFont val="Arial"/>
        <color theme="1"/>
        <sz val="12.0"/>
      </rPr>
      <t xml:space="preserve">  Diligenciar el link </t>
    </r>
    <r>
      <rPr>
        <rFont val="Arial"/>
        <b/>
        <color theme="1"/>
        <sz val="12.0"/>
      </rPr>
      <t>Solicitud de pieza comunicacional</t>
    </r>
    <r>
      <rPr>
        <rFont val="Arial"/>
        <color theme="1"/>
        <sz val="12.0"/>
      </rPr>
      <t xml:space="preserve">, el cual a su vez, debe incluir el link del </t>
    </r>
    <r>
      <rPr>
        <rFont val="Arial"/>
        <b/>
        <color theme="1"/>
        <sz val="12.0"/>
      </rPr>
      <t xml:space="preserve">formulario de inscripción </t>
    </r>
    <r>
      <rPr>
        <rFont val="Arial"/>
        <color theme="1"/>
        <sz val="12.0"/>
      </rPr>
      <t xml:space="preserve">en editable para los usuarios maria_lopezr@cun.edu.co, proyeccion_social@cun.edu.co y liliana_villamizar@cun.edu.co
</t>
    </r>
    <r>
      <rPr>
        <rFont val="Arial"/>
        <b/>
        <color theme="1"/>
        <sz val="12.0"/>
      </rPr>
      <t>Actividad #5</t>
    </r>
  </si>
  <si>
    <r>
      <rPr>
        <rFont val="Arial"/>
        <color rgb="FF000000"/>
        <sz val="12.0"/>
        <u/>
      </rPr>
      <t xml:space="preserve">Diligenciar formulario de solicitud de pieza comunicacional, el cual contiene a su vez, el link del formulario de inscripción en editable  y cargar una captura de pantalla del diligenciamiento de formulario.. 
</t>
    </r>
    <r>
      <rPr>
        <rFont val="Arial"/>
        <sz val="12.0"/>
      </rPr>
      <t xml:space="preserve">- Link de formulario: </t>
    </r>
    <r>
      <rPr>
        <rFont val="Arial"/>
        <color rgb="FF1155CC"/>
        <sz val="12.0"/>
        <u/>
      </rPr>
      <t>https://forms.gle/fWBhN7Ttu7YBM1UL8</t>
    </r>
    <r>
      <rPr>
        <rFont val="Arial"/>
        <sz val="12.0"/>
      </rPr>
      <t xml:space="preserve"> 
- Link carpeta: </t>
    </r>
    <r>
      <rPr>
        <rFont val="Arial"/>
        <color rgb="FF1155CC"/>
        <sz val="12.0"/>
        <u/>
      </rPr>
      <t>https://drive.google.com/drive/u/1/folders/1iEOBvCzYkdliL2H4d7TrZAkcIH2dLl8B</t>
    </r>
  </si>
  <si>
    <r>
      <rPr>
        <rFont val="Arial"/>
        <color theme="1"/>
        <sz val="12.0"/>
      </rPr>
      <t xml:space="preserve">  Diligenciar el link </t>
    </r>
    <r>
      <rPr>
        <rFont val="Arial"/>
        <b/>
        <color theme="1"/>
        <sz val="12.0"/>
      </rPr>
      <t>Solicitud de pieza comunicacional</t>
    </r>
    <r>
      <rPr>
        <rFont val="Arial"/>
        <color theme="1"/>
        <sz val="12.0"/>
      </rPr>
      <t xml:space="preserve">, el cual a su vez, debe incluir el link del </t>
    </r>
    <r>
      <rPr>
        <rFont val="Arial"/>
        <b/>
        <color theme="1"/>
        <sz val="12.0"/>
      </rPr>
      <t xml:space="preserve">formulario de inscripción </t>
    </r>
    <r>
      <rPr>
        <rFont val="Arial"/>
        <color theme="1"/>
        <sz val="12.0"/>
      </rPr>
      <t xml:space="preserve">en editable para los usuarios maria_lopezr@cun.edu.co, proyeccion_social@cun.edu.co y liliana_villamizar@cun.edu.co
</t>
    </r>
    <r>
      <rPr>
        <rFont val="Arial"/>
        <b/>
        <color theme="1"/>
        <sz val="12.0"/>
      </rPr>
      <t>Actividad #6</t>
    </r>
  </si>
  <si>
    <r>
      <rPr>
        <rFont val="Arial"/>
        <color rgb="FF000000"/>
        <sz val="12.0"/>
        <u/>
      </rPr>
      <t xml:space="preserve">Diligenciar formulario de solicitud de pieza comunicacional, el cual contiene a su vez, el link del formulario de inscripción en editable  y cargar una captura de pantalla del diligenciamiento de formulario.. 
</t>
    </r>
    <r>
      <rPr>
        <rFont val="Arial"/>
        <sz val="12.0"/>
      </rPr>
      <t xml:space="preserve">- Link de formulario: </t>
    </r>
    <r>
      <rPr>
        <rFont val="Arial"/>
        <color rgb="FF1155CC"/>
        <sz val="12.0"/>
        <u/>
      </rPr>
      <t>https://forms.gle/fWBhN7Ttu7YBM1UL8</t>
    </r>
    <r>
      <rPr>
        <rFont val="Arial"/>
        <sz val="12.0"/>
      </rPr>
      <t xml:space="preserve"> 
- Link carpeta: </t>
    </r>
    <r>
      <rPr>
        <rFont val="Arial"/>
        <color rgb="FF1155CC"/>
        <sz val="12.0"/>
        <u/>
      </rPr>
      <t>https://drive.google.com/drive/u/1/folders/1iEOBvCzYkdliL2H4d7TrZAkcIH2dLl8B</t>
    </r>
  </si>
  <si>
    <r>
      <rPr>
        <rFont val="Arial"/>
        <color theme="1"/>
        <sz val="12.0"/>
      </rPr>
      <t xml:space="preserve">  Diligenciar el link </t>
    </r>
    <r>
      <rPr>
        <rFont val="Arial"/>
        <b/>
        <color theme="1"/>
        <sz val="12.0"/>
      </rPr>
      <t>Solicitud de pieza comunicacional</t>
    </r>
    <r>
      <rPr>
        <rFont val="Arial"/>
        <color theme="1"/>
        <sz val="12.0"/>
      </rPr>
      <t xml:space="preserve">, el cual a su vez, debe incluir el link del </t>
    </r>
    <r>
      <rPr>
        <rFont val="Arial"/>
        <b/>
        <color theme="1"/>
        <sz val="12.0"/>
      </rPr>
      <t xml:space="preserve">formulario de inscripción </t>
    </r>
    <r>
      <rPr>
        <rFont val="Arial"/>
        <color theme="1"/>
        <sz val="12.0"/>
      </rPr>
      <t xml:space="preserve">en editable para los usuarios maria_lopezr@cun.edu.co, proyeccion_social@cun.edu.co y liliana_villamizar@cun.edu.co
</t>
    </r>
    <r>
      <rPr>
        <rFont val="Arial"/>
        <b/>
        <color theme="1"/>
        <sz val="12.0"/>
      </rPr>
      <t>Actividad #7</t>
    </r>
  </si>
  <si>
    <r>
      <rPr>
        <rFont val="Arial"/>
        <color rgb="FF000000"/>
        <sz val="12.0"/>
        <u/>
      </rPr>
      <t xml:space="preserve">Diligenciar formulario de solicitud de pieza comunicacional, el cual contiene a su vez, el link del formulario de inscripción en editable  y cargar una captura de pantalla del diligenciamiento de formulario.. 
</t>
    </r>
    <r>
      <rPr>
        <rFont val="Arial"/>
        <sz val="12.0"/>
      </rPr>
      <t xml:space="preserve">- Link de formulario: </t>
    </r>
    <r>
      <rPr>
        <rFont val="Arial"/>
        <color rgb="FF1155CC"/>
        <sz val="12.0"/>
        <u/>
      </rPr>
      <t>https://forms.gle/fWBhN7Ttu7YBM1UL8</t>
    </r>
    <r>
      <rPr>
        <rFont val="Arial"/>
        <sz val="12.0"/>
      </rPr>
      <t xml:space="preserve"> 
- Link carpeta: </t>
    </r>
    <r>
      <rPr>
        <rFont val="Arial"/>
        <color rgb="FF1155CC"/>
        <sz val="12.0"/>
        <u/>
      </rPr>
      <t>https://drive.google.com/drive/u/1/folders/1iEOBvCzYkdliL2H4d7TrZAkcIH2dLl8B</t>
    </r>
  </si>
  <si>
    <r>
      <rPr>
        <rFont val="Arial"/>
        <color theme="1"/>
        <sz val="12.0"/>
      </rPr>
      <t xml:space="preserve">Elaboración de contenidos - </t>
    </r>
    <r>
      <rPr>
        <rFont val="Arial"/>
        <b/>
        <color theme="1"/>
        <sz val="12.0"/>
      </rPr>
      <t>Actividad #1</t>
    </r>
  </si>
  <si>
    <r>
      <rPr>
        <rFont val="Arial"/>
        <color rgb="FF000000"/>
        <sz val="12.0"/>
        <u/>
      </rPr>
      <t xml:space="preserve">Cargar presentación en PPT. Usar formato de Proyección Social 
</t>
    </r>
    <r>
      <rPr>
        <rFont val="Arial"/>
        <color rgb="FF1155CC"/>
        <sz val="12.0"/>
        <u/>
      </rPr>
      <t>https://drive.google.com/drive/u/2/folders/10mZf0XSY6egfcaL3GVlAZutC3Yxmlya0</t>
    </r>
  </si>
  <si>
    <r>
      <rPr>
        <rFont val="Arial"/>
        <color theme="1"/>
        <sz val="12.0"/>
      </rPr>
      <t xml:space="preserve">Elaboración de contenidos - </t>
    </r>
    <r>
      <rPr>
        <rFont val="Arial"/>
        <b/>
        <color theme="1"/>
        <sz val="12.0"/>
      </rPr>
      <t>Actividad #2</t>
    </r>
  </si>
  <si>
    <r>
      <rPr>
        <rFont val="Arial"/>
        <color rgb="FF000000"/>
        <sz val="12.0"/>
        <u/>
      </rPr>
      <t xml:space="preserve">Cargar presentación en PPT. Usar formato de Proyección Social 
</t>
    </r>
    <r>
      <rPr>
        <rFont val="Arial"/>
        <color rgb="FF1155CC"/>
        <sz val="12.0"/>
        <u/>
      </rPr>
      <t>https://drive.google.com/drive/u/2/folders/10mZf0XSY6egfcaL3GVlAZutC3Yxmlya0</t>
    </r>
  </si>
  <si>
    <r>
      <rPr>
        <rFont val="Arial"/>
        <color theme="1"/>
        <sz val="12.0"/>
      </rPr>
      <t xml:space="preserve">Elaboración de contenidos - </t>
    </r>
    <r>
      <rPr>
        <rFont val="Arial"/>
        <b/>
        <color theme="1"/>
        <sz val="12.0"/>
      </rPr>
      <t>Actividad #3</t>
    </r>
  </si>
  <si>
    <r>
      <rPr>
        <rFont val="Arial"/>
        <color rgb="FF000000"/>
        <sz val="12.0"/>
        <u/>
      </rPr>
      <t xml:space="preserve">Cargar presentación en PPT. Usar formato de Proyección Social 
</t>
    </r>
    <r>
      <rPr>
        <rFont val="Arial"/>
        <color rgb="FF1155CC"/>
        <sz val="12.0"/>
        <u/>
      </rPr>
      <t>https://drive.google.com/drive/u/2/folders/10mZf0XSY6egfcaL3GVlAZutC3Yxmlya0</t>
    </r>
  </si>
  <si>
    <r>
      <rPr>
        <rFont val="Arial"/>
        <color theme="1"/>
        <sz val="12.0"/>
      </rPr>
      <t xml:space="preserve">Elaboración de contenidos - </t>
    </r>
    <r>
      <rPr>
        <rFont val="Arial"/>
        <b/>
        <color theme="1"/>
        <sz val="12.0"/>
      </rPr>
      <t>Actividad #4</t>
    </r>
  </si>
  <si>
    <r>
      <rPr>
        <rFont val="Arial"/>
        <color rgb="FF000000"/>
        <sz val="12.0"/>
        <u/>
      </rPr>
      <t xml:space="preserve">Cargar presentación en PPT. Usar formato de Proyección Social 
</t>
    </r>
    <r>
      <rPr>
        <rFont val="Arial"/>
        <color rgb="FF1155CC"/>
        <sz val="12.0"/>
        <u/>
      </rPr>
      <t>https://drive.google.com/drive/u/2/folders/10mZf0XSY6egfcaL3GVlAZutC3Yxmlya0</t>
    </r>
  </si>
  <si>
    <r>
      <rPr>
        <rFont val="Arial"/>
        <color theme="1"/>
        <sz val="12.0"/>
      </rPr>
      <t xml:space="preserve">Elaboración de contenidos - </t>
    </r>
    <r>
      <rPr>
        <rFont val="Arial"/>
        <b/>
        <color theme="1"/>
        <sz val="12.0"/>
      </rPr>
      <t>Actividad #5</t>
    </r>
  </si>
  <si>
    <r>
      <rPr>
        <rFont val="Arial"/>
        <color rgb="FF000000"/>
        <sz val="12.0"/>
        <u/>
      </rPr>
      <t xml:space="preserve">Cargar presentación en PPT. Usar formato de Proyección Social 
</t>
    </r>
    <r>
      <rPr>
        <rFont val="Arial"/>
        <color rgb="FF1155CC"/>
        <sz val="12.0"/>
        <u/>
      </rPr>
      <t>https://drive.google.com/drive/u/2/folders/10mZf0XSY6egfcaL3GVlAZutC3Yxmlya0</t>
    </r>
  </si>
  <si>
    <r>
      <rPr>
        <rFont val="Arial"/>
        <color theme="1"/>
        <sz val="12.0"/>
      </rPr>
      <t xml:space="preserve">Elaboración de contenidos - </t>
    </r>
    <r>
      <rPr>
        <rFont val="Arial"/>
        <b/>
        <color theme="1"/>
        <sz val="12.0"/>
      </rPr>
      <t>Actividad #6</t>
    </r>
  </si>
  <si>
    <r>
      <rPr>
        <rFont val="Arial"/>
        <color rgb="FF000000"/>
        <sz val="12.0"/>
        <u/>
      </rPr>
      <t xml:space="preserve">Cargar presentación en PPT. Usar formato de Proyección Social 
</t>
    </r>
    <r>
      <rPr>
        <rFont val="Arial"/>
        <color rgb="FF1155CC"/>
        <sz val="12.0"/>
        <u/>
      </rPr>
      <t>https://drive.google.com/drive/u/2/folders/10mZf0XSY6egfcaL3GVlAZutC3Yxmlya0</t>
    </r>
  </si>
  <si>
    <r>
      <rPr>
        <rFont val="Arial"/>
        <color theme="1"/>
        <sz val="12.0"/>
      </rPr>
      <t xml:space="preserve">Elaboración de contenidos - </t>
    </r>
    <r>
      <rPr>
        <rFont val="Arial"/>
        <b/>
        <color theme="1"/>
        <sz val="12.0"/>
      </rPr>
      <t>Actividad #7</t>
    </r>
  </si>
  <si>
    <r>
      <rPr>
        <rFont val="Arial"/>
        <color rgb="FF000000"/>
        <sz val="12.0"/>
        <u/>
      </rPr>
      <t xml:space="preserve">Cargar presentación en PPT. Usar formato de Proyección Social 
</t>
    </r>
    <r>
      <rPr>
        <rFont val="Arial"/>
        <color rgb="FF1155CC"/>
        <sz val="12.0"/>
        <u/>
      </rPr>
      <t>https://drive.google.com/drive/u/2/folders/10mZf0XSY6egfcaL3GVlAZutC3Yxmlya0</t>
    </r>
  </si>
  <si>
    <r>
      <rPr>
        <rFont val="Arial"/>
        <b/>
        <color theme="1"/>
        <sz val="12.0"/>
      </rPr>
      <t>Difusión de la pieza comunicacional -</t>
    </r>
    <r>
      <rPr>
        <rFont val="Arial"/>
        <color theme="1"/>
        <sz val="12.0"/>
      </rPr>
      <t xml:space="preserve"> Correo enviado al actor externo - </t>
    </r>
    <r>
      <rPr>
        <rFont val="Arial"/>
        <b/>
        <color theme="1"/>
        <sz val="12.0"/>
      </rPr>
      <t>Actividad #1</t>
    </r>
  </si>
  <si>
    <r>
      <rPr>
        <rFont val="Arial"/>
        <b/>
        <color theme="1"/>
        <sz val="12.0"/>
      </rPr>
      <t>Difusión de la pieza comunicacional -</t>
    </r>
    <r>
      <rPr>
        <rFont val="Arial"/>
        <color theme="1"/>
        <sz val="12.0"/>
      </rPr>
      <t xml:space="preserve"> Correo enviado al actor externo - </t>
    </r>
    <r>
      <rPr>
        <rFont val="Arial"/>
        <b/>
        <color theme="1"/>
        <sz val="12.0"/>
      </rPr>
      <t>Actividad #2</t>
    </r>
  </si>
  <si>
    <r>
      <rPr>
        <rFont val="Arial"/>
        <b/>
        <color theme="1"/>
        <sz val="12.0"/>
      </rPr>
      <t>Difusión de la pieza comunicacional -</t>
    </r>
    <r>
      <rPr>
        <rFont val="Arial"/>
        <color theme="1"/>
        <sz val="12.0"/>
      </rPr>
      <t xml:space="preserve"> Correo enviado al actor externo - </t>
    </r>
    <r>
      <rPr>
        <rFont val="Arial"/>
        <b/>
        <color theme="1"/>
        <sz val="12.0"/>
      </rPr>
      <t>Actividad #3</t>
    </r>
  </si>
  <si>
    <r>
      <rPr>
        <rFont val="Arial"/>
        <b/>
        <color theme="1"/>
        <sz val="12.0"/>
      </rPr>
      <t>Difusión de la pieza comunicacional -</t>
    </r>
    <r>
      <rPr>
        <rFont val="Arial"/>
        <color theme="1"/>
        <sz val="12.0"/>
      </rPr>
      <t xml:space="preserve"> Correo enviado al actor externo - </t>
    </r>
    <r>
      <rPr>
        <rFont val="Arial"/>
        <b/>
        <color theme="1"/>
        <sz val="12.0"/>
      </rPr>
      <t>Actividad #4</t>
    </r>
  </si>
  <si>
    <r>
      <rPr>
        <rFont val="Arial"/>
        <b/>
        <color theme="1"/>
        <sz val="12.0"/>
      </rPr>
      <t>Difusión de la pieza comunicacional -</t>
    </r>
    <r>
      <rPr>
        <rFont val="Arial"/>
        <color theme="1"/>
        <sz val="12.0"/>
      </rPr>
      <t xml:space="preserve"> Correo enviado al actor externo - </t>
    </r>
    <r>
      <rPr>
        <rFont val="Arial"/>
        <b/>
        <color theme="1"/>
        <sz val="12.0"/>
      </rPr>
      <t>Actividad #5</t>
    </r>
  </si>
  <si>
    <r>
      <rPr>
        <rFont val="Arial"/>
        <b/>
        <color theme="1"/>
        <sz val="12.0"/>
      </rPr>
      <t>Difusión de la pieza comunicacional -</t>
    </r>
    <r>
      <rPr>
        <rFont val="Arial"/>
        <color theme="1"/>
        <sz val="12.0"/>
      </rPr>
      <t xml:space="preserve"> Correo enviado al actor externo - </t>
    </r>
    <r>
      <rPr>
        <rFont val="Arial"/>
        <b/>
        <color theme="1"/>
        <sz val="12.0"/>
      </rPr>
      <t>Actividad #6</t>
    </r>
  </si>
  <si>
    <r>
      <rPr>
        <rFont val="Arial"/>
        <b/>
        <color theme="1"/>
        <sz val="12.0"/>
      </rPr>
      <t>Difusión de la pieza comunicacional -</t>
    </r>
    <r>
      <rPr>
        <rFont val="Arial"/>
        <color theme="1"/>
        <sz val="12.0"/>
      </rPr>
      <t xml:space="preserve"> Correo enviado al actor externo - </t>
    </r>
    <r>
      <rPr>
        <rFont val="Arial"/>
        <b/>
        <color theme="1"/>
        <sz val="12.0"/>
      </rPr>
      <t>Actividad #7</t>
    </r>
  </si>
  <si>
    <r>
      <rPr>
        <rFont val="Arial"/>
        <color theme="1"/>
        <sz val="12.0"/>
      </rPr>
      <t xml:space="preserve">Implementación - </t>
    </r>
    <r>
      <rPr>
        <rFont val="Arial"/>
        <b/>
        <color theme="1"/>
        <sz val="12.0"/>
      </rPr>
      <t>Actividad #1</t>
    </r>
  </si>
  <si>
    <r>
      <rPr>
        <rFont val="Arial"/>
        <color theme="1"/>
        <sz val="12.0"/>
      </rPr>
      <t xml:space="preserve">Implementación - </t>
    </r>
    <r>
      <rPr>
        <rFont val="Arial"/>
        <b/>
        <color theme="1"/>
        <sz val="12.0"/>
      </rPr>
      <t>Actividad #2</t>
    </r>
  </si>
  <si>
    <r>
      <rPr>
        <rFont val="Arial"/>
        <color theme="1"/>
        <sz val="12.0"/>
      </rPr>
      <t xml:space="preserve">Implementación - </t>
    </r>
    <r>
      <rPr>
        <rFont val="Arial"/>
        <b/>
        <color theme="1"/>
        <sz val="12.0"/>
      </rPr>
      <t>Actividad #3</t>
    </r>
  </si>
  <si>
    <r>
      <rPr>
        <rFont val="Arial"/>
        <color theme="1"/>
        <sz val="12.0"/>
      </rPr>
      <t xml:space="preserve">Implementación - </t>
    </r>
    <r>
      <rPr>
        <rFont val="Arial"/>
        <b/>
        <color theme="1"/>
        <sz val="12.0"/>
      </rPr>
      <t>Actividad #4</t>
    </r>
  </si>
  <si>
    <r>
      <rPr>
        <rFont val="Arial"/>
        <color theme="1"/>
        <sz val="12.0"/>
      </rPr>
      <t xml:space="preserve">Implementación - </t>
    </r>
    <r>
      <rPr>
        <rFont val="Arial"/>
        <b/>
        <color theme="1"/>
        <sz val="12.0"/>
      </rPr>
      <t>Actividad #5</t>
    </r>
  </si>
  <si>
    <r>
      <rPr>
        <rFont val="Arial"/>
        <color theme="1"/>
        <sz val="12.0"/>
      </rPr>
      <t xml:space="preserve">Implementación - </t>
    </r>
    <r>
      <rPr>
        <rFont val="Arial"/>
        <b/>
        <color theme="1"/>
        <sz val="12.0"/>
      </rPr>
      <t>Actividad #6</t>
    </r>
  </si>
  <si>
    <r>
      <rPr>
        <rFont val="Arial"/>
        <color theme="1"/>
        <sz val="12.0"/>
      </rPr>
      <t xml:space="preserve">Implementación - </t>
    </r>
    <r>
      <rPr>
        <rFont val="Arial"/>
        <b/>
        <color theme="1"/>
        <sz val="12.0"/>
      </rPr>
      <t>Actividad #7</t>
    </r>
  </si>
  <si>
    <r>
      <rPr>
        <rFont val="Arial"/>
        <color theme="1"/>
        <sz val="12.0"/>
      </rPr>
      <t xml:space="preserve">Aplicar y cargar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</t>
    </r>
    <r>
      <rPr>
        <rFont val="Arial"/>
        <b/>
        <color theme="1"/>
        <sz val="12.0"/>
      </rPr>
      <t>Actividad 1</t>
    </r>
  </si>
  <si>
    <r>
      <rPr>
        <rFont val="Arial"/>
        <b/>
        <color theme="1"/>
        <sz val="12.0"/>
      </rPr>
      <t xml:space="preserve">Actividad presencial: </t>
    </r>
    <r>
      <rPr>
        <rFont val="Arial"/>
        <color theme="1"/>
        <sz val="12.0"/>
      </rPr>
      <t xml:space="preserve">Cargar PDF de los listados de asistencia escaneados (diligenciados por parte de los participantes)
</t>
    </r>
    <r>
      <rPr>
        <rFont val="Arial"/>
        <b/>
        <color theme="1"/>
        <sz val="12.0"/>
      </rPr>
      <t>Actividad virtual</t>
    </r>
    <r>
      <rPr>
        <rFont val="Arial"/>
        <color theme="1"/>
        <sz val="12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2.0"/>
      </rPr>
      <t>Solo está permitido hacer uso de los formatos establecidos por el área</t>
    </r>
    <r>
      <rPr>
        <rFont val="Arial"/>
        <color theme="1"/>
        <sz val="12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</si>
  <si>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r>
      <rPr>
        <rFont val="Arial"/>
        <color theme="1"/>
        <sz val="12.0"/>
      </rPr>
      <t xml:space="preserve">Aplicar y cargar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</t>
    </r>
    <r>
      <rPr>
        <rFont val="Arial"/>
        <b/>
        <color theme="1"/>
        <sz val="12.0"/>
      </rPr>
      <t>Actividad 2</t>
    </r>
  </si>
  <si>
    <r>
      <rPr>
        <rFont val="Arial"/>
        <b/>
        <color theme="1"/>
        <sz val="12.0"/>
      </rPr>
      <t xml:space="preserve">Actividad presencial: </t>
    </r>
    <r>
      <rPr>
        <rFont val="Arial"/>
        <color theme="1"/>
        <sz val="12.0"/>
      </rPr>
      <t xml:space="preserve">Cargar PDF de los listados de asistencia escaneados (diligenciados por parte de los participantes)
</t>
    </r>
    <r>
      <rPr>
        <rFont val="Arial"/>
        <b/>
        <color theme="1"/>
        <sz val="12.0"/>
      </rPr>
      <t>Actividad virtual</t>
    </r>
    <r>
      <rPr>
        <rFont val="Arial"/>
        <color theme="1"/>
        <sz val="12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2.0"/>
      </rPr>
      <t>Solo está permitido hacer uso de los formatos establecidos por el área</t>
    </r>
    <r>
      <rPr>
        <rFont val="Arial"/>
        <color theme="1"/>
        <sz val="12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</si>
  <si>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r>
      <rPr>
        <rFont val="Arial"/>
        <color theme="1"/>
        <sz val="12.0"/>
      </rPr>
      <t xml:space="preserve">Aplicar y cargar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</t>
    </r>
    <r>
      <rPr>
        <rFont val="Arial"/>
        <b/>
        <color theme="1"/>
        <sz val="12.0"/>
      </rPr>
      <t>Actividad 3</t>
    </r>
  </si>
  <si>
    <r>
      <rPr>
        <rFont val="Arial"/>
        <b/>
        <color theme="1"/>
        <sz val="12.0"/>
      </rPr>
      <t xml:space="preserve">Actividad presencial: </t>
    </r>
    <r>
      <rPr>
        <rFont val="Arial"/>
        <color theme="1"/>
        <sz val="12.0"/>
      </rPr>
      <t xml:space="preserve">Cargar PDF de los listados de asistencia escaneados (diligenciados por parte de los participantes)
</t>
    </r>
    <r>
      <rPr>
        <rFont val="Arial"/>
        <b/>
        <color theme="1"/>
        <sz val="12.0"/>
      </rPr>
      <t>Actividad virtual</t>
    </r>
    <r>
      <rPr>
        <rFont val="Arial"/>
        <color theme="1"/>
        <sz val="12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2.0"/>
      </rPr>
      <t>Solo está permitido hacer uso de los formatos establecidos por el área</t>
    </r>
    <r>
      <rPr>
        <rFont val="Arial"/>
        <color theme="1"/>
        <sz val="12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</si>
  <si>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r>
      <rPr>
        <rFont val="Arial"/>
        <color theme="1"/>
        <sz val="12.0"/>
      </rPr>
      <t xml:space="preserve">Aplicar y cargar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</t>
    </r>
    <r>
      <rPr>
        <rFont val="Arial"/>
        <b/>
        <color theme="1"/>
        <sz val="12.0"/>
      </rPr>
      <t>Actividad 4</t>
    </r>
  </si>
  <si>
    <r>
      <rPr>
        <rFont val="Arial"/>
        <b/>
        <color theme="1"/>
        <sz val="12.0"/>
      </rPr>
      <t xml:space="preserve">Actividad presencial: </t>
    </r>
    <r>
      <rPr>
        <rFont val="Arial"/>
        <color theme="1"/>
        <sz val="12.0"/>
      </rPr>
      <t xml:space="preserve">Cargar PDF de los listados de asistencia escaneados (diligenciados por parte de los participantes)
</t>
    </r>
    <r>
      <rPr>
        <rFont val="Arial"/>
        <b/>
        <color theme="1"/>
        <sz val="12.0"/>
      </rPr>
      <t>Actividad virtual</t>
    </r>
    <r>
      <rPr>
        <rFont val="Arial"/>
        <color theme="1"/>
        <sz val="12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2.0"/>
      </rPr>
      <t>Solo está permitido hacer uso de los formatos establecidos por el área</t>
    </r>
    <r>
      <rPr>
        <rFont val="Arial"/>
        <color theme="1"/>
        <sz val="12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</si>
  <si>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r>
      <rPr>
        <rFont val="Arial"/>
        <color theme="1"/>
        <sz val="12.0"/>
      </rPr>
      <t xml:space="preserve">Aplicar y cargar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</t>
    </r>
    <r>
      <rPr>
        <rFont val="Arial"/>
        <b/>
        <color theme="1"/>
        <sz val="12.0"/>
      </rPr>
      <t>Actividad 5</t>
    </r>
  </si>
  <si>
    <r>
      <rPr>
        <rFont val="Arial"/>
        <b/>
        <color theme="1"/>
        <sz val="12.0"/>
      </rPr>
      <t xml:space="preserve">Actividad presencial: </t>
    </r>
    <r>
      <rPr>
        <rFont val="Arial"/>
        <color theme="1"/>
        <sz val="12.0"/>
      </rPr>
      <t xml:space="preserve">Cargar PDF de los listados de asistencia escaneados (diligenciados por parte de los participantes)
</t>
    </r>
    <r>
      <rPr>
        <rFont val="Arial"/>
        <b/>
        <color theme="1"/>
        <sz val="12.0"/>
      </rPr>
      <t>Actividad virtual</t>
    </r>
    <r>
      <rPr>
        <rFont val="Arial"/>
        <color theme="1"/>
        <sz val="12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2.0"/>
      </rPr>
      <t>Solo está permitido hacer uso de los formatos establecidos por el área</t>
    </r>
    <r>
      <rPr>
        <rFont val="Arial"/>
        <color theme="1"/>
        <sz val="12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</si>
  <si>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r>
      <rPr>
        <rFont val="Arial"/>
        <color theme="1"/>
        <sz val="12.0"/>
      </rPr>
      <t xml:space="preserve">Aplicar y cargar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</t>
    </r>
    <r>
      <rPr>
        <rFont val="Arial"/>
        <b/>
        <color theme="1"/>
        <sz val="12.0"/>
      </rPr>
      <t>Actividad 6</t>
    </r>
  </si>
  <si>
    <r>
      <rPr>
        <rFont val="Arial"/>
        <b/>
        <color theme="1"/>
        <sz val="12.0"/>
      </rPr>
      <t xml:space="preserve">Actividad presencial: </t>
    </r>
    <r>
      <rPr>
        <rFont val="Arial"/>
        <color theme="1"/>
        <sz val="12.0"/>
      </rPr>
      <t xml:space="preserve">Cargar PDF de los listados de asistencia escaneados (diligenciados por parte de los participantes)
</t>
    </r>
    <r>
      <rPr>
        <rFont val="Arial"/>
        <b/>
        <color theme="1"/>
        <sz val="12.0"/>
      </rPr>
      <t>Actividad virtual</t>
    </r>
    <r>
      <rPr>
        <rFont val="Arial"/>
        <color theme="1"/>
        <sz val="12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2.0"/>
      </rPr>
      <t>Solo está permitido hacer uso de los formatos establecidos por el área</t>
    </r>
    <r>
      <rPr>
        <rFont val="Arial"/>
        <color theme="1"/>
        <sz val="12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</si>
  <si>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r>
      <rPr>
        <rFont val="Arial"/>
        <color theme="1"/>
        <sz val="12.0"/>
      </rPr>
      <t xml:space="preserve">Aplicar y cargar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</t>
    </r>
    <r>
      <rPr>
        <rFont val="Arial"/>
        <b/>
        <color theme="1"/>
        <sz val="12.0"/>
      </rPr>
      <t>Actividad 7</t>
    </r>
  </si>
  <si>
    <r>
      <rPr>
        <rFont val="Arial"/>
        <b/>
        <color theme="1"/>
        <sz val="12.0"/>
      </rPr>
      <t xml:space="preserve">Actividad presencial: </t>
    </r>
    <r>
      <rPr>
        <rFont val="Arial"/>
        <color theme="1"/>
        <sz val="12.0"/>
      </rPr>
      <t xml:space="preserve">Cargar PDF de los listados de asistencia escaneados (diligenciados por parte de los participantes)
</t>
    </r>
    <r>
      <rPr>
        <rFont val="Arial"/>
        <b/>
        <color theme="1"/>
        <sz val="12.0"/>
      </rPr>
      <t>Actividad virtual</t>
    </r>
    <r>
      <rPr>
        <rFont val="Arial"/>
        <color theme="1"/>
        <sz val="12.0"/>
      </rPr>
      <t xml:space="preserve">: Cargar Excel formulario de respuestas de la asistencia de cada sesión - (diligenciados por parte de los participantes)
NOTA: </t>
    </r>
    <r>
      <rPr>
        <rFont val="Arial"/>
        <b/>
        <color theme="1"/>
        <sz val="12.0"/>
      </rPr>
      <t>Solo está permitido hacer uso de los formatos establecidos por el área</t>
    </r>
    <r>
      <rPr>
        <rFont val="Arial"/>
        <color theme="1"/>
        <sz val="12.0"/>
      </rPr>
      <t xml:space="preserve">, en el caso de iniciativas presenciales la planilla de asistencia en PDF cargada en la carpeta documentos generales y para actividades virtuales unicamente el formulario generado por el área a través del aplicativo Zoho. </t>
    </r>
  </si>
  <si>
    <r>
      <rPr>
        <rFont val="Arial"/>
        <color theme="1"/>
        <sz val="12.0"/>
      </rPr>
      <t xml:space="preserve">Entrega de </t>
    </r>
    <r>
      <rPr>
        <rFont val="Arial"/>
        <b/>
        <color theme="1"/>
        <sz val="12.0"/>
      </rPr>
      <t xml:space="preserve">Acta de actividad firmada </t>
    </r>
    <r>
      <rPr>
        <rFont val="Arial"/>
        <color theme="1"/>
        <sz val="12.0"/>
      </rPr>
      <t xml:space="preserve">por actor externo y docente de proyección social,  </t>
    </r>
    <r>
      <rPr>
        <rFont val="Arial"/>
        <b/>
        <color theme="1"/>
        <sz val="12.0"/>
      </rPr>
      <t>y presupuesto en Excel</t>
    </r>
    <r>
      <rPr>
        <rFont val="Arial"/>
        <color theme="1"/>
        <sz val="12.0"/>
      </rPr>
      <t xml:space="preserve">, con total de beneficiarios reportado en la planilla SNIES
</t>
    </r>
    <r>
      <rPr>
        <rFont val="Arial"/>
        <b/>
        <color theme="1"/>
        <sz val="12.0"/>
      </rPr>
      <t>Actividad #1</t>
    </r>
  </si>
  <si>
    <r>
      <rPr>
        <rFont val="Arial"/>
        <color rgb="FF000000"/>
        <sz val="12.0"/>
        <u/>
      </rPr>
      <t xml:space="preserve">Cargar en formato Word del acta de actividad firmada por actor externo y docente de proyección social, y el presupuesto en formato Excel, </t>
    </r>
    <r>
      <rPr>
        <rFont val="Arial"/>
        <color rgb="FF1155CC"/>
        <sz val="12.0"/>
        <u/>
      </rPr>
      <t xml:space="preserve"> 
Link ejemplo de acta de actividad y presupuesto ubicado en la carpeta Documentos Generales: 
https://drive.google.com/drive/folders/1vs6E91cl6LcXLw8yY6jQ_Jn1mxzsDxBc?usp=drive_link</t>
    </r>
  </si>
  <si>
    <r>
      <rPr>
        <rFont val="Arial"/>
        <color theme="1"/>
        <sz val="12.0"/>
      </rPr>
      <t xml:space="preserve">Entrega de </t>
    </r>
    <r>
      <rPr>
        <rFont val="Arial"/>
        <b/>
        <color theme="1"/>
        <sz val="12.0"/>
      </rPr>
      <t xml:space="preserve">Acta de actividad firmada </t>
    </r>
    <r>
      <rPr>
        <rFont val="Arial"/>
        <color theme="1"/>
        <sz val="12.0"/>
      </rPr>
      <t xml:space="preserve">por actor externo y docente de proyección social,  </t>
    </r>
    <r>
      <rPr>
        <rFont val="Arial"/>
        <b/>
        <color theme="1"/>
        <sz val="12.0"/>
      </rPr>
      <t>y presupuesto en Excel</t>
    </r>
    <r>
      <rPr>
        <rFont val="Arial"/>
        <color theme="1"/>
        <sz val="12.0"/>
      </rPr>
      <t xml:space="preserve">, con total de beneficiarios reportado en la planilla SNIES
</t>
    </r>
    <r>
      <rPr>
        <rFont val="Arial"/>
        <b/>
        <color theme="1"/>
        <sz val="12.0"/>
      </rPr>
      <t>Actividad #2</t>
    </r>
  </si>
  <si>
    <r>
      <rPr>
        <rFont val="Arial"/>
        <color rgb="FF000000"/>
        <sz val="12.0"/>
        <u/>
      </rPr>
      <t xml:space="preserve">Cargar en formato Word del acta de actividad firmada por actor externo y docente de proyección social, y el presupuesto en formato Excel, </t>
    </r>
    <r>
      <rPr>
        <rFont val="Arial"/>
        <color rgb="FF1155CC"/>
        <sz val="12.0"/>
        <u/>
      </rPr>
      <t xml:space="preserve"> 
Link ejemplo de acta de actividad y presupuesto ubicado en la carpeta Documentos Generales: 
https://drive.google.com/drive/folders/1vs6E91cl6LcXLw8yY6jQ_Jn1mxzsDxBc?usp=drive_link</t>
    </r>
  </si>
  <si>
    <r>
      <rPr>
        <rFont val="Arial"/>
        <color theme="1"/>
        <sz val="12.0"/>
      </rPr>
      <t xml:space="preserve">Entrega de </t>
    </r>
    <r>
      <rPr>
        <rFont val="Arial"/>
        <b/>
        <color theme="1"/>
        <sz val="12.0"/>
      </rPr>
      <t xml:space="preserve">Acta de actividad firmada </t>
    </r>
    <r>
      <rPr>
        <rFont val="Arial"/>
        <color theme="1"/>
        <sz val="12.0"/>
      </rPr>
      <t xml:space="preserve">por actor externo y docente de proyección social,  </t>
    </r>
    <r>
      <rPr>
        <rFont val="Arial"/>
        <b/>
        <color theme="1"/>
        <sz val="12.0"/>
      </rPr>
      <t>y presupuesto en Excel</t>
    </r>
    <r>
      <rPr>
        <rFont val="Arial"/>
        <color theme="1"/>
        <sz val="12.0"/>
      </rPr>
      <t xml:space="preserve">, con total de beneficiarios reportado en la planilla SNIES
</t>
    </r>
    <r>
      <rPr>
        <rFont val="Arial"/>
        <b/>
        <color theme="1"/>
        <sz val="12.0"/>
      </rPr>
      <t>Actividad #3</t>
    </r>
  </si>
  <si>
    <r>
      <rPr>
        <rFont val="Arial"/>
        <color rgb="FF000000"/>
        <sz val="12.0"/>
        <u/>
      </rPr>
      <t xml:space="preserve">Cargar en formato Word del acta de actividad firmada por actor externo y docente de proyección social, y el presupuesto en formato Excel, </t>
    </r>
    <r>
      <rPr>
        <rFont val="Arial"/>
        <color rgb="FF1155CC"/>
        <sz val="12.0"/>
        <u/>
      </rPr>
      <t xml:space="preserve"> 
Link ejemplo de acta de actividad y presupuesto ubicado en la carpeta Documentos Generales: 
https://drive.google.com/drive/folders/1vs6E91cl6LcXLw8yY6jQ_Jn1mxzsDxBc?usp=drive_link</t>
    </r>
  </si>
  <si>
    <r>
      <rPr>
        <rFont val="Arial"/>
        <color theme="1"/>
        <sz val="12.0"/>
      </rPr>
      <t xml:space="preserve">Entrega de </t>
    </r>
    <r>
      <rPr>
        <rFont val="Arial"/>
        <b/>
        <color theme="1"/>
        <sz val="12.0"/>
      </rPr>
      <t xml:space="preserve">Acta de actividad firmada </t>
    </r>
    <r>
      <rPr>
        <rFont val="Arial"/>
        <color theme="1"/>
        <sz val="12.0"/>
      </rPr>
      <t xml:space="preserve">por actor externo y docente de proyección social,  </t>
    </r>
    <r>
      <rPr>
        <rFont val="Arial"/>
        <b/>
        <color theme="1"/>
        <sz val="12.0"/>
      </rPr>
      <t>y presupuesto en Excel</t>
    </r>
    <r>
      <rPr>
        <rFont val="Arial"/>
        <color theme="1"/>
        <sz val="12.0"/>
      </rPr>
      <t xml:space="preserve">, con total de beneficiarios reportado en la planilla SNIES
</t>
    </r>
    <r>
      <rPr>
        <rFont val="Arial"/>
        <b/>
        <color theme="1"/>
        <sz val="12.0"/>
      </rPr>
      <t>Actividad #4</t>
    </r>
  </si>
  <si>
    <r>
      <rPr>
        <rFont val="Arial"/>
        <color rgb="FF000000"/>
        <sz val="12.0"/>
        <u/>
      </rPr>
      <t xml:space="preserve">Cargar en formato Word del acta de actividad firmada por actor externo y docente de proyección social, y el presupuesto en formato Excel, </t>
    </r>
    <r>
      <rPr>
        <rFont val="Arial"/>
        <color rgb="FF1155CC"/>
        <sz val="12.0"/>
        <u/>
      </rPr>
      <t xml:space="preserve"> 
Link ejemplo de acta de actividad y presupuesto ubicado en la carpeta Documentos Generales: 
https://drive.google.com/drive/folders/1vs6E91cl6LcXLw8yY6jQ_Jn1mxzsDxBc?usp=drive_link</t>
    </r>
  </si>
  <si>
    <r>
      <rPr>
        <rFont val="Arial"/>
        <color theme="1"/>
        <sz val="12.0"/>
      </rPr>
      <t xml:space="preserve">Entrega de </t>
    </r>
    <r>
      <rPr>
        <rFont val="Arial"/>
        <b/>
        <color theme="1"/>
        <sz val="12.0"/>
      </rPr>
      <t xml:space="preserve">Acta de actividad firmada </t>
    </r>
    <r>
      <rPr>
        <rFont val="Arial"/>
        <color theme="1"/>
        <sz val="12.0"/>
      </rPr>
      <t xml:space="preserve">por actor externo y docente de proyección social,  </t>
    </r>
    <r>
      <rPr>
        <rFont val="Arial"/>
        <b/>
        <color theme="1"/>
        <sz val="12.0"/>
      </rPr>
      <t>y presupuesto en Excel</t>
    </r>
    <r>
      <rPr>
        <rFont val="Arial"/>
        <color theme="1"/>
        <sz val="12.0"/>
      </rPr>
      <t xml:space="preserve">, con total de beneficiarios reportado en la planilla SNIES
</t>
    </r>
    <r>
      <rPr>
        <rFont val="Arial"/>
        <b/>
        <color theme="1"/>
        <sz val="12.0"/>
      </rPr>
      <t>Actividad #5</t>
    </r>
  </si>
  <si>
    <r>
      <rPr>
        <rFont val="Arial"/>
        <color rgb="FF000000"/>
        <sz val="12.0"/>
        <u/>
      </rPr>
      <t xml:space="preserve">Cargar en formato Word del acta de actividad firmada por actor externo y docente de proyección social, y el presupuesto en formato Excel, </t>
    </r>
    <r>
      <rPr>
        <rFont val="Arial"/>
        <color rgb="FF1155CC"/>
        <sz val="12.0"/>
        <u/>
      </rPr>
      <t xml:space="preserve"> 
Link ejemplo de acta de actividad y presupuesto ubicado en la carpeta Documentos Generales: 
https://drive.google.com/drive/folders/1vs6E91cl6LcXLw8yY6jQ_Jn1mxzsDxBc?usp=drive_link</t>
    </r>
  </si>
  <si>
    <r>
      <rPr>
        <rFont val="Arial"/>
        <color theme="1"/>
        <sz val="12.0"/>
      </rPr>
      <t xml:space="preserve">Entrega de </t>
    </r>
    <r>
      <rPr>
        <rFont val="Arial"/>
        <b/>
        <color theme="1"/>
        <sz val="12.0"/>
      </rPr>
      <t xml:space="preserve">Acta de actividad firmada </t>
    </r>
    <r>
      <rPr>
        <rFont val="Arial"/>
        <color theme="1"/>
        <sz val="12.0"/>
      </rPr>
      <t xml:space="preserve">por actor externo y docente de proyección social,  </t>
    </r>
    <r>
      <rPr>
        <rFont val="Arial"/>
        <b/>
        <color theme="1"/>
        <sz val="12.0"/>
      </rPr>
      <t>y presupuesto en Excel</t>
    </r>
    <r>
      <rPr>
        <rFont val="Arial"/>
        <color theme="1"/>
        <sz val="12.0"/>
      </rPr>
      <t xml:space="preserve">, con total de beneficiarios reportado en la planilla SNIES
</t>
    </r>
    <r>
      <rPr>
        <rFont val="Arial"/>
        <b/>
        <color theme="1"/>
        <sz val="12.0"/>
      </rPr>
      <t>Actividad #6</t>
    </r>
  </si>
  <si>
    <r>
      <rPr>
        <rFont val="Arial"/>
        <color rgb="FF000000"/>
        <sz val="12.0"/>
        <u/>
      </rPr>
      <t xml:space="preserve">Cargar en formato Word del acta de actividad firmada por actor externo y docente de proyección social, y el presupuesto en formato Excel, </t>
    </r>
    <r>
      <rPr>
        <rFont val="Arial"/>
        <color rgb="FF1155CC"/>
        <sz val="12.0"/>
        <u/>
      </rPr>
      <t xml:space="preserve"> 
Link ejemplo de acta de actividad y presupuesto ubicado en la carpeta Documentos Generales: 
https://drive.google.com/drive/folders/1vs6E91cl6LcXLw8yY6jQ_Jn1mxzsDxBc?usp=drive_link</t>
    </r>
  </si>
  <si>
    <r>
      <rPr>
        <rFont val="Arial"/>
        <color theme="1"/>
        <sz val="12.0"/>
      </rPr>
      <t xml:space="preserve">Entrega de </t>
    </r>
    <r>
      <rPr>
        <rFont val="Arial"/>
        <b/>
        <color theme="1"/>
        <sz val="12.0"/>
      </rPr>
      <t xml:space="preserve">Acta de actividad firmada </t>
    </r>
    <r>
      <rPr>
        <rFont val="Arial"/>
        <color theme="1"/>
        <sz val="12.0"/>
      </rPr>
      <t xml:space="preserve">por actor externo y docente de proyección social,  </t>
    </r>
    <r>
      <rPr>
        <rFont val="Arial"/>
        <b/>
        <color theme="1"/>
        <sz val="12.0"/>
      </rPr>
      <t>y presupuesto en Excel</t>
    </r>
    <r>
      <rPr>
        <rFont val="Arial"/>
        <color theme="1"/>
        <sz val="12.0"/>
      </rPr>
      <t xml:space="preserve">, con total de beneficiarios reportado en la planilla SNIES
</t>
    </r>
    <r>
      <rPr>
        <rFont val="Arial"/>
        <b/>
        <color theme="1"/>
        <sz val="12.0"/>
      </rPr>
      <t>Actividad #7</t>
    </r>
  </si>
  <si>
    <r>
      <rPr>
        <rFont val="Arial"/>
        <color rgb="FF000000"/>
        <sz val="12.0"/>
        <u/>
      </rPr>
      <t xml:space="preserve">Cargar en formato Word del acta de actividad firmada por actor externo y docente de proyección social, y el presupuesto en formato Excel, </t>
    </r>
    <r>
      <rPr>
        <rFont val="Arial"/>
        <color rgb="FF1155CC"/>
        <sz val="12.0"/>
        <u/>
      </rPr>
      <t xml:space="preserve"> 
Link ejemplo de acta de actividad y presupuesto ubicado en la carpeta Documentos Generales: 
https://drive.google.com/drive/folders/1vs6E91cl6LcXLw8yY6jQ_Jn1mxzsDxBc?usp=drive_link</t>
    </r>
  </si>
  <si>
    <r>
      <rPr>
        <rFont val="Arial"/>
        <color theme="1"/>
        <sz val="12.0"/>
      </rPr>
      <t xml:space="preserve">Generar registro fotográfico y/o grabación de la actividad
</t>
    </r>
    <r>
      <rPr>
        <rFont val="Arial"/>
        <b/>
        <color theme="1"/>
        <sz val="12.0"/>
      </rPr>
      <t>Actividad #1</t>
    </r>
  </si>
  <si>
    <r>
      <rPr>
        <rFont val="Arial"/>
        <b/>
        <color rgb="FF000000"/>
        <sz val="12.0"/>
      </rPr>
      <t>Actividad presencial</t>
    </r>
    <r>
      <rPr>
        <rFont val="Arial"/>
        <color rgb="FF000000"/>
        <sz val="12.0"/>
      </rPr>
      <t xml:space="preserve">: Cargar fotografías del desarrollo de la actividad
</t>
    </r>
    <r>
      <rPr>
        <rFont val="Arial"/>
        <b/>
        <color rgb="FF000000"/>
        <sz val="12.0"/>
      </rPr>
      <t>Actividad virtual:</t>
    </r>
    <r>
      <rPr>
        <rFont val="Arial"/>
        <color rgb="FF000000"/>
        <sz val="12.0"/>
      </rPr>
      <t xml:space="preserve"> Cargar la grabación y pantallazos del desarrollo de la actividad</t>
    </r>
  </si>
  <si>
    <r>
      <rPr>
        <rFont val="Arial"/>
        <color theme="1"/>
        <sz val="12.0"/>
      </rPr>
      <t xml:space="preserve">Generar registro fotográfico y/o grabación de la actividad
</t>
    </r>
    <r>
      <rPr>
        <rFont val="Arial"/>
        <b/>
        <color theme="1"/>
        <sz val="12.0"/>
      </rPr>
      <t>Actividad #2</t>
    </r>
  </si>
  <si>
    <r>
      <rPr>
        <rFont val="Arial"/>
        <b/>
        <color rgb="FF000000"/>
        <sz val="12.0"/>
      </rPr>
      <t>Actividad presencial</t>
    </r>
    <r>
      <rPr>
        <rFont val="Arial"/>
        <color rgb="FF000000"/>
        <sz val="12.0"/>
      </rPr>
      <t xml:space="preserve">: Cargar fotografías del desarrollo de la actividad
</t>
    </r>
    <r>
      <rPr>
        <rFont val="Arial"/>
        <b/>
        <color rgb="FF000000"/>
        <sz val="12.0"/>
      </rPr>
      <t>Actividad virtual:</t>
    </r>
    <r>
      <rPr>
        <rFont val="Arial"/>
        <color rgb="FF000000"/>
        <sz val="12.0"/>
      </rPr>
      <t xml:space="preserve"> Cargar la grabación y pantallazos del desarrollo de la actividad</t>
    </r>
  </si>
  <si>
    <r>
      <rPr>
        <rFont val="Arial"/>
        <color theme="1"/>
        <sz val="12.0"/>
      </rPr>
      <t xml:space="preserve">Generar registro fotográfico y/o grabación de la actividad
</t>
    </r>
    <r>
      <rPr>
        <rFont val="Arial"/>
        <b/>
        <color theme="1"/>
        <sz val="12.0"/>
      </rPr>
      <t>Actividad #3</t>
    </r>
  </si>
  <si>
    <r>
      <rPr>
        <rFont val="Arial"/>
        <b/>
        <color rgb="FF000000"/>
        <sz val="12.0"/>
      </rPr>
      <t>Actividad presencial</t>
    </r>
    <r>
      <rPr>
        <rFont val="Arial"/>
        <color rgb="FF000000"/>
        <sz val="12.0"/>
      </rPr>
      <t xml:space="preserve">: Cargar fotografías del desarrollo de la actividad
</t>
    </r>
    <r>
      <rPr>
        <rFont val="Arial"/>
        <b/>
        <color rgb="FF000000"/>
        <sz val="12.0"/>
      </rPr>
      <t>Actividad virtual:</t>
    </r>
    <r>
      <rPr>
        <rFont val="Arial"/>
        <color rgb="FF000000"/>
        <sz val="12.0"/>
      </rPr>
      <t xml:space="preserve"> Cargar la grabación y pantallazos del desarrollo de la actividad</t>
    </r>
  </si>
  <si>
    <r>
      <rPr>
        <rFont val="Arial"/>
        <color theme="1"/>
        <sz val="12.0"/>
      </rPr>
      <t xml:space="preserve">Generar registro fotográfico y/o grabación de la actividad
</t>
    </r>
    <r>
      <rPr>
        <rFont val="Arial"/>
        <b/>
        <color theme="1"/>
        <sz val="12.0"/>
      </rPr>
      <t>Actividad #4</t>
    </r>
  </si>
  <si>
    <r>
      <rPr>
        <rFont val="Arial"/>
        <b/>
        <color rgb="FF000000"/>
        <sz val="12.0"/>
      </rPr>
      <t>Actividad presencial</t>
    </r>
    <r>
      <rPr>
        <rFont val="Arial"/>
        <color rgb="FF000000"/>
        <sz val="12.0"/>
      </rPr>
      <t xml:space="preserve">: Cargar fotografías del desarrollo de la actividad
</t>
    </r>
    <r>
      <rPr>
        <rFont val="Arial"/>
        <b/>
        <color rgb="FF000000"/>
        <sz val="12.0"/>
      </rPr>
      <t>Actividad virtual:</t>
    </r>
    <r>
      <rPr>
        <rFont val="Arial"/>
        <color rgb="FF000000"/>
        <sz val="12.0"/>
      </rPr>
      <t xml:space="preserve"> Cargar la grabación y pantallazos del desarrollo de la actividad</t>
    </r>
  </si>
  <si>
    <r>
      <rPr>
        <rFont val="Arial"/>
        <color theme="1"/>
        <sz val="12.0"/>
      </rPr>
      <t xml:space="preserve">Generar registro fotográfico y/o grabación de la actividad
</t>
    </r>
    <r>
      <rPr>
        <rFont val="Arial"/>
        <b/>
        <color theme="1"/>
        <sz val="12.0"/>
      </rPr>
      <t>Actividad #5</t>
    </r>
  </si>
  <si>
    <r>
      <rPr>
        <rFont val="Arial"/>
        <b/>
        <color rgb="FF000000"/>
        <sz val="12.0"/>
      </rPr>
      <t>Actividad presencial</t>
    </r>
    <r>
      <rPr>
        <rFont val="Arial"/>
        <color rgb="FF000000"/>
        <sz val="12.0"/>
      </rPr>
      <t xml:space="preserve">: Cargar fotografías del desarrollo de la actividad
</t>
    </r>
    <r>
      <rPr>
        <rFont val="Arial"/>
        <b/>
        <color rgb="FF000000"/>
        <sz val="12.0"/>
      </rPr>
      <t>Actividad virtual:</t>
    </r>
    <r>
      <rPr>
        <rFont val="Arial"/>
        <color rgb="FF000000"/>
        <sz val="12.0"/>
      </rPr>
      <t xml:space="preserve"> Cargar la grabación y pantallazos del desarrollo de la actividad</t>
    </r>
  </si>
  <si>
    <r>
      <rPr>
        <rFont val="Arial"/>
        <color theme="1"/>
        <sz val="12.0"/>
      </rPr>
      <t xml:space="preserve">Generar registro fotográfico y/o grabación de la actividad
</t>
    </r>
    <r>
      <rPr>
        <rFont val="Arial"/>
        <b/>
        <color theme="1"/>
        <sz val="12.0"/>
      </rPr>
      <t>Actividad #6</t>
    </r>
  </si>
  <si>
    <r>
      <rPr>
        <rFont val="Arial"/>
        <b/>
        <color rgb="FF000000"/>
        <sz val="12.0"/>
      </rPr>
      <t>Actividad presencial</t>
    </r>
    <r>
      <rPr>
        <rFont val="Arial"/>
        <color rgb="FF000000"/>
        <sz val="12.0"/>
      </rPr>
      <t xml:space="preserve">: Cargar fotografías del desarrollo de la actividad
</t>
    </r>
    <r>
      <rPr>
        <rFont val="Arial"/>
        <b/>
        <color rgb="FF000000"/>
        <sz val="12.0"/>
      </rPr>
      <t>Actividad virtual:</t>
    </r>
    <r>
      <rPr>
        <rFont val="Arial"/>
        <color rgb="FF000000"/>
        <sz val="12.0"/>
      </rPr>
      <t xml:space="preserve"> Cargar la grabación y pantallazos del desarrollo de la actividad</t>
    </r>
  </si>
  <si>
    <r>
      <rPr>
        <rFont val="Arial"/>
        <color theme="1"/>
        <sz val="12.0"/>
      </rPr>
      <t xml:space="preserve">Generar registro fotográfico y/o grabación de la actividad
</t>
    </r>
    <r>
      <rPr>
        <rFont val="Arial"/>
        <b/>
        <color theme="1"/>
        <sz val="12.0"/>
      </rPr>
      <t>Actividad #7</t>
    </r>
  </si>
  <si>
    <r>
      <rPr>
        <rFont val="Arial"/>
        <b/>
        <color rgb="FF000000"/>
        <sz val="12.0"/>
      </rPr>
      <t>Actividad presencial</t>
    </r>
    <r>
      <rPr>
        <rFont val="Arial"/>
        <color rgb="FF000000"/>
        <sz val="12.0"/>
      </rPr>
      <t xml:space="preserve">: Cargar fotografías del desarrollo de la actividad
</t>
    </r>
    <r>
      <rPr>
        <rFont val="Arial"/>
        <b/>
        <color rgb="FF000000"/>
        <sz val="12.0"/>
      </rPr>
      <t>Actividad virtual:</t>
    </r>
    <r>
      <rPr>
        <rFont val="Arial"/>
        <color rgb="FF000000"/>
        <sz val="12.0"/>
      </rPr>
      <t xml:space="preserve"> Cargar la grabación y pantallazos del desarrollo de la actividad</t>
    </r>
  </si>
  <si>
    <r>
      <rPr>
        <rFont val="Arial"/>
        <color theme="1"/>
        <sz val="12.0"/>
      </rPr>
      <t xml:space="preserve">Elaborar y aplicar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Diligenciar la </t>
    </r>
    <r>
      <rPr>
        <rFont val="Arial"/>
        <b/>
        <color theme="1"/>
        <sz val="12.0"/>
      </rPr>
      <t>planilla de certificación SNIES 
Actividad #1</t>
    </r>
  </si>
  <si>
    <r>
      <rPr>
        <rFont val="Arial"/>
        <b/>
        <color rgb="FF000000"/>
        <sz val="12.0"/>
        <u/>
      </rPr>
      <t>Actividad presencial:</t>
    </r>
    <r>
      <rPr>
        <rFont val="Arial"/>
        <color rgb="FF000000"/>
        <sz val="12.0"/>
        <u/>
      </rPr>
      <t xml:space="preserve"> Cargar PDF del listado de asistencia escaneado (diligenciado por parte de los participantes)
</t>
    </r>
    <r>
      <rPr>
        <rFont val="Arial"/>
        <b/>
        <color rgb="FF000000"/>
        <sz val="12.0"/>
        <u/>
      </rPr>
      <t xml:space="preserve">Actividad virtual: </t>
    </r>
    <r>
      <rPr>
        <rFont val="Arial"/>
        <color rgb="FF000000"/>
        <sz val="12.0"/>
        <u/>
      </rPr>
      <t>Cargar Excel de asistencia de la actividad remitida por la Coordinación de Proyección Social (diligenciado por parte de los participantes)</t>
    </r>
    <r>
      <rPr>
        <rFont val="Arial"/>
        <color rgb="FF1155CC"/>
        <sz val="12.0"/>
        <u/>
      </rPr>
      <t xml:space="preserve">
Cargar </t>
    </r>
    <r>
      <rPr>
        <rFont val="Arial"/>
        <b/>
        <color rgb="FF1155CC"/>
        <sz val="12.0"/>
        <u/>
      </rPr>
      <t>planilla de certificación SNIES</t>
    </r>
    <r>
      <rPr>
        <rFont val="Arial"/>
        <color rgb="FF1155CC"/>
        <sz val="12.0"/>
        <u/>
      </rPr>
      <t xml:space="preserve"> con la totalidad de participantes a certificar, con previa verificación de nombres y apellidos de los participantes en página de la Polícia.
Link ejemplo ubicado en la carpeta Documentos Generales - Planilla de certificación SNIES:
</t>
    </r>
    <r>
      <rPr>
        <rFont val="Arial"/>
        <color rgb="FF1155CC"/>
        <sz val="12.0"/>
        <u/>
      </rPr>
      <t>https://drive.google.com/drive/u/1/folders/1brOzvgm6dBZq8OXVNiwxpOofTEraF8no</t>
    </r>
    <r>
      <rPr>
        <rFont val="Arial"/>
        <color rgb="FF1155CC"/>
        <sz val="12.0"/>
        <u/>
      </rPr>
      <t xml:space="preserve"> </t>
    </r>
  </si>
  <si>
    <r>
      <rPr>
        <rFont val="Arial"/>
        <color theme="1"/>
        <sz val="12.0"/>
      </rPr>
      <t xml:space="preserve">Elaborar y aplicar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Diligenciar la </t>
    </r>
    <r>
      <rPr>
        <rFont val="Arial"/>
        <b/>
        <color theme="1"/>
        <sz val="12.0"/>
      </rPr>
      <t>planilla de certificación SNIES 
Actividad #2</t>
    </r>
  </si>
  <si>
    <r>
      <rPr>
        <rFont val="Arial"/>
        <b/>
        <color rgb="FF000000"/>
        <sz val="12.0"/>
        <u/>
      </rPr>
      <t>Actividad presencial:</t>
    </r>
    <r>
      <rPr>
        <rFont val="Arial"/>
        <color rgb="FF000000"/>
        <sz val="12.0"/>
        <u/>
      </rPr>
      <t xml:space="preserve"> Cargar PDF del listado de asistencia escaneado (diligenciado por parte de los participantes)
</t>
    </r>
    <r>
      <rPr>
        <rFont val="Arial"/>
        <b/>
        <color rgb="FF000000"/>
        <sz val="12.0"/>
        <u/>
      </rPr>
      <t xml:space="preserve">Actividad virtual: </t>
    </r>
    <r>
      <rPr>
        <rFont val="Arial"/>
        <color rgb="FF000000"/>
        <sz val="12.0"/>
        <u/>
      </rPr>
      <t>Cargar Excel de asistencia de la actividad remitida por la Coordinación de Proyección Social (diligenciado por parte de los participantes)</t>
    </r>
    <r>
      <rPr>
        <rFont val="Arial"/>
        <color rgb="FF1155CC"/>
        <sz val="12.0"/>
        <u/>
      </rPr>
      <t xml:space="preserve">
Cargar </t>
    </r>
    <r>
      <rPr>
        <rFont val="Arial"/>
        <b/>
        <color rgb="FF1155CC"/>
        <sz val="12.0"/>
        <u/>
      </rPr>
      <t>planilla de certificación SNIES</t>
    </r>
    <r>
      <rPr>
        <rFont val="Arial"/>
        <color rgb="FF1155CC"/>
        <sz val="12.0"/>
        <u/>
      </rPr>
      <t xml:space="preserve"> con la totalidad de participantes a certificar, con previa verificación de nombres y apellidos de los participantes en página de la Polícia.
Link ejemplo ubicado en la carpeta Documentos Generales - Planilla de certificación SNIES:
</t>
    </r>
    <r>
      <rPr>
        <rFont val="Arial"/>
        <color rgb="FF1155CC"/>
        <sz val="12.0"/>
        <u/>
      </rPr>
      <t>https://drive.google.com/drive/u/1/folders/1brOzvgm6dBZq8OXVNiwxpOofTEraF8no</t>
    </r>
    <r>
      <rPr>
        <rFont val="Arial"/>
        <color rgb="FF1155CC"/>
        <sz val="12.0"/>
        <u/>
      </rPr>
      <t xml:space="preserve"> </t>
    </r>
  </si>
  <si>
    <r>
      <rPr>
        <rFont val="Arial"/>
        <color theme="1"/>
        <sz val="12.0"/>
      </rPr>
      <t xml:space="preserve">Elaborar y aplicar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Diligenciar la </t>
    </r>
    <r>
      <rPr>
        <rFont val="Arial"/>
        <b/>
        <color theme="1"/>
        <sz val="12.0"/>
      </rPr>
      <t>planilla de certificación SNIES 
Actividad #3</t>
    </r>
  </si>
  <si>
    <r>
      <rPr>
        <rFont val="Arial"/>
        <b/>
        <color rgb="FF000000"/>
        <sz val="12.0"/>
        <u/>
      </rPr>
      <t>Actividad presencial:</t>
    </r>
    <r>
      <rPr>
        <rFont val="Arial"/>
        <color rgb="FF000000"/>
        <sz val="12.0"/>
        <u/>
      </rPr>
      <t xml:space="preserve"> Cargar PDF del listado de asistencia escaneado (diligenciado por parte de los participantes)
</t>
    </r>
    <r>
      <rPr>
        <rFont val="Arial"/>
        <b/>
        <color rgb="FF000000"/>
        <sz val="12.0"/>
        <u/>
      </rPr>
      <t xml:space="preserve">Actividad virtual: </t>
    </r>
    <r>
      <rPr>
        <rFont val="Arial"/>
        <color rgb="FF000000"/>
        <sz val="12.0"/>
        <u/>
      </rPr>
      <t>Cargar Excel de asistencia de la actividad remitida por la Coordinación de Proyección Social (diligenciado por parte de los participantes)</t>
    </r>
    <r>
      <rPr>
        <rFont val="Arial"/>
        <color rgb="FF1155CC"/>
        <sz val="12.0"/>
        <u/>
      </rPr>
      <t xml:space="preserve">
Cargar </t>
    </r>
    <r>
      <rPr>
        <rFont val="Arial"/>
        <b/>
        <color rgb="FF1155CC"/>
        <sz val="12.0"/>
        <u/>
      </rPr>
      <t>planilla de certificación SNIES</t>
    </r>
    <r>
      <rPr>
        <rFont val="Arial"/>
        <color rgb="FF1155CC"/>
        <sz val="12.0"/>
        <u/>
      </rPr>
      <t xml:space="preserve"> con la totalidad de participantes a certificar, con previa verificación de nombres y apellidos de los participantes en página de la Polícia.
Link ejemplo ubicado en la carpeta Documentos Generales - Planilla de certificación SNIES:
</t>
    </r>
    <r>
      <rPr>
        <rFont val="Arial"/>
        <color rgb="FF1155CC"/>
        <sz val="12.0"/>
        <u/>
      </rPr>
      <t>https://drive.google.com/drive/u/1/folders/1brOzvgm6dBZq8OXVNiwxpOofTEraF8no</t>
    </r>
    <r>
      <rPr>
        <rFont val="Arial"/>
        <color rgb="FF1155CC"/>
        <sz val="12.0"/>
        <u/>
      </rPr>
      <t xml:space="preserve"> </t>
    </r>
  </si>
  <si>
    <r>
      <rPr>
        <rFont val="Arial"/>
        <color theme="1"/>
        <sz val="12.0"/>
      </rPr>
      <t xml:space="preserve">Elaborar y aplicar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Diligenciar la </t>
    </r>
    <r>
      <rPr>
        <rFont val="Arial"/>
        <b/>
        <color theme="1"/>
        <sz val="12.0"/>
      </rPr>
      <t>planilla de certificación SNIES 
Actividad #4</t>
    </r>
  </si>
  <si>
    <r>
      <rPr>
        <rFont val="Arial"/>
        <b/>
        <color rgb="FF000000"/>
        <sz val="12.0"/>
        <u/>
      </rPr>
      <t>Actividad presencial:</t>
    </r>
    <r>
      <rPr>
        <rFont val="Arial"/>
        <color rgb="FF000000"/>
        <sz val="12.0"/>
        <u/>
      </rPr>
      <t xml:space="preserve"> Cargar PDF del listado de asistencia escaneado (diligenciado por parte de los participantes)
</t>
    </r>
    <r>
      <rPr>
        <rFont val="Arial"/>
        <b/>
        <color rgb="FF000000"/>
        <sz val="12.0"/>
        <u/>
      </rPr>
      <t xml:space="preserve">Actividad virtual: </t>
    </r>
    <r>
      <rPr>
        <rFont val="Arial"/>
        <color rgb="FF000000"/>
        <sz val="12.0"/>
        <u/>
      </rPr>
      <t>Cargar Excel de asistencia de la actividad remitida por la Coordinación de Proyección Social (diligenciado por parte de los participantes)</t>
    </r>
    <r>
      <rPr>
        <rFont val="Arial"/>
        <color rgb="FF1155CC"/>
        <sz val="12.0"/>
        <u/>
      </rPr>
      <t xml:space="preserve">
Cargar </t>
    </r>
    <r>
      <rPr>
        <rFont val="Arial"/>
        <b/>
        <color rgb="FF1155CC"/>
        <sz val="12.0"/>
        <u/>
      </rPr>
      <t>planilla de certificación SNIES</t>
    </r>
    <r>
      <rPr>
        <rFont val="Arial"/>
        <color rgb="FF1155CC"/>
        <sz val="12.0"/>
        <u/>
      </rPr>
      <t xml:space="preserve"> con la totalidad de participantes a certificar, con previa verificación de nombres y apellidos de los participantes en página de la Polícia.
Link ejemplo ubicado en la carpeta Documentos Generales - Planilla de certificación SNIES:
</t>
    </r>
    <r>
      <rPr>
        <rFont val="Arial"/>
        <color rgb="FF1155CC"/>
        <sz val="12.0"/>
        <u/>
      </rPr>
      <t>https://drive.google.com/drive/u/1/folders/1brOzvgm6dBZq8OXVNiwxpOofTEraF8no</t>
    </r>
    <r>
      <rPr>
        <rFont val="Arial"/>
        <color rgb="FF1155CC"/>
        <sz val="12.0"/>
        <u/>
      </rPr>
      <t xml:space="preserve"> </t>
    </r>
  </si>
  <si>
    <r>
      <rPr>
        <rFont val="Arial"/>
        <color theme="1"/>
        <sz val="12.0"/>
      </rPr>
      <t xml:space="preserve">Elaborar y aplicar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Diligenciar la </t>
    </r>
    <r>
      <rPr>
        <rFont val="Arial"/>
        <b/>
        <color theme="1"/>
        <sz val="12.0"/>
      </rPr>
      <t>planilla de certificación SNIES 
Actividad #5</t>
    </r>
  </si>
  <si>
    <r>
      <rPr>
        <rFont val="Arial"/>
        <b/>
        <color rgb="FF000000"/>
        <sz val="12.0"/>
        <u/>
      </rPr>
      <t>Actividad presencial:</t>
    </r>
    <r>
      <rPr>
        <rFont val="Arial"/>
        <color rgb="FF000000"/>
        <sz val="12.0"/>
        <u/>
      </rPr>
      <t xml:space="preserve"> Cargar PDF del listado de asistencia escaneado (diligenciado por parte de los participantes)
</t>
    </r>
    <r>
      <rPr>
        <rFont val="Arial"/>
        <b/>
        <color rgb="FF000000"/>
        <sz val="12.0"/>
        <u/>
      </rPr>
      <t xml:space="preserve">Actividad virtual: </t>
    </r>
    <r>
      <rPr>
        <rFont val="Arial"/>
        <color rgb="FF000000"/>
        <sz val="12.0"/>
        <u/>
      </rPr>
      <t>Cargar Excel de asistencia de la actividad remitida por la Coordinación de Proyección Social (diligenciado por parte de los participantes)</t>
    </r>
    <r>
      <rPr>
        <rFont val="Arial"/>
        <color rgb="FF1155CC"/>
        <sz val="12.0"/>
        <u/>
      </rPr>
      <t xml:space="preserve">
Cargar </t>
    </r>
    <r>
      <rPr>
        <rFont val="Arial"/>
        <b/>
        <color rgb="FF1155CC"/>
        <sz val="12.0"/>
        <u/>
      </rPr>
      <t>planilla de certificación SNIES</t>
    </r>
    <r>
      <rPr>
        <rFont val="Arial"/>
        <color rgb="FF1155CC"/>
        <sz val="12.0"/>
        <u/>
      </rPr>
      <t xml:space="preserve"> con la totalidad de participantes a certificar, con previa verificación de nombres y apellidos de los participantes en página de la Polícia.
Link ejemplo ubicado en la carpeta Documentos Generales - Planilla de certificación SNIES:
</t>
    </r>
    <r>
      <rPr>
        <rFont val="Arial"/>
        <color rgb="FF1155CC"/>
        <sz val="12.0"/>
        <u/>
      </rPr>
      <t>https://drive.google.com/drive/u/1/folders/1brOzvgm6dBZq8OXVNiwxpOofTEraF8no</t>
    </r>
    <r>
      <rPr>
        <rFont val="Arial"/>
        <color rgb="FF1155CC"/>
        <sz val="12.0"/>
        <u/>
      </rPr>
      <t xml:space="preserve"> </t>
    </r>
  </si>
  <si>
    <r>
      <rPr>
        <rFont val="Arial"/>
        <color theme="1"/>
        <sz val="12.0"/>
      </rPr>
      <t xml:space="preserve">Elaborar y aplicar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Diligenciar la </t>
    </r>
    <r>
      <rPr>
        <rFont val="Arial"/>
        <b/>
        <color theme="1"/>
        <sz val="12.0"/>
      </rPr>
      <t>planilla de certificación SNIES 
Actividad #6</t>
    </r>
  </si>
  <si>
    <r>
      <rPr>
        <rFont val="Arial"/>
        <b/>
        <color rgb="FF000000"/>
        <sz val="12.0"/>
        <u/>
      </rPr>
      <t>Actividad presencial:</t>
    </r>
    <r>
      <rPr>
        <rFont val="Arial"/>
        <color rgb="FF000000"/>
        <sz val="12.0"/>
        <u/>
      </rPr>
      <t xml:space="preserve"> Cargar PDF del listado de asistencia escaneado (diligenciado por parte de los participantes)
</t>
    </r>
    <r>
      <rPr>
        <rFont val="Arial"/>
        <b/>
        <color rgb="FF000000"/>
        <sz val="12.0"/>
        <u/>
      </rPr>
      <t xml:space="preserve">Actividad virtual: </t>
    </r>
    <r>
      <rPr>
        <rFont val="Arial"/>
        <color rgb="FF000000"/>
        <sz val="12.0"/>
        <u/>
      </rPr>
      <t>Cargar Excel de asistencia de la actividad remitida por la Coordinación de Proyección Social (diligenciado por parte de los participantes)</t>
    </r>
    <r>
      <rPr>
        <rFont val="Arial"/>
        <color rgb="FF1155CC"/>
        <sz val="12.0"/>
        <u/>
      </rPr>
      <t xml:space="preserve">
Cargar </t>
    </r>
    <r>
      <rPr>
        <rFont val="Arial"/>
        <b/>
        <color rgb="FF1155CC"/>
        <sz val="12.0"/>
        <u/>
      </rPr>
      <t>planilla de certificación SNIES</t>
    </r>
    <r>
      <rPr>
        <rFont val="Arial"/>
        <color rgb="FF1155CC"/>
        <sz val="12.0"/>
        <u/>
      </rPr>
      <t xml:space="preserve"> con la totalidad de participantes a certificar, con previa verificación de nombres y apellidos de los participantes en página de la Polícia.
Link ejemplo ubicado en la carpeta Documentos Generales - Planilla de certificación SNIES:
</t>
    </r>
    <r>
      <rPr>
        <rFont val="Arial"/>
        <color rgb="FF1155CC"/>
        <sz val="12.0"/>
        <u/>
      </rPr>
      <t>https://drive.google.com/drive/u/1/folders/1brOzvgm6dBZq8OXVNiwxpOofTEraF8no</t>
    </r>
    <r>
      <rPr>
        <rFont val="Arial"/>
        <color rgb="FF1155CC"/>
        <sz val="12.0"/>
        <u/>
      </rPr>
      <t xml:space="preserve"> </t>
    </r>
  </si>
  <si>
    <r>
      <rPr>
        <rFont val="Arial"/>
        <color theme="1"/>
        <sz val="12.0"/>
      </rPr>
      <t xml:space="preserve">Elaborar y aplicar los </t>
    </r>
    <r>
      <rPr>
        <rFont val="Arial"/>
        <b/>
        <color theme="1"/>
        <sz val="12.0"/>
      </rPr>
      <t>formatos de listados de asistencia</t>
    </r>
    <r>
      <rPr>
        <rFont val="Arial"/>
        <color theme="1"/>
        <sz val="12.0"/>
      </rPr>
      <t xml:space="preserve"> 
Diligenciar la </t>
    </r>
    <r>
      <rPr>
        <rFont val="Arial"/>
        <b/>
        <color theme="1"/>
        <sz val="12.0"/>
      </rPr>
      <t>planilla de certificación SNIES 
Actividad #7</t>
    </r>
  </si>
  <si>
    <r>
      <rPr>
        <rFont val="Arial"/>
        <b/>
        <color rgb="FF000000"/>
        <sz val="12.0"/>
        <u/>
      </rPr>
      <t>Actividad presencial:</t>
    </r>
    <r>
      <rPr>
        <rFont val="Arial"/>
        <color rgb="FF000000"/>
        <sz val="12.0"/>
        <u/>
      </rPr>
      <t xml:space="preserve"> Cargar PDF del listado de asistencia escaneado (diligenciado por parte de los participantes)
</t>
    </r>
    <r>
      <rPr>
        <rFont val="Arial"/>
        <b/>
        <color rgb="FF000000"/>
        <sz val="12.0"/>
        <u/>
      </rPr>
      <t xml:space="preserve">Actividad virtual: </t>
    </r>
    <r>
      <rPr>
        <rFont val="Arial"/>
        <color rgb="FF000000"/>
        <sz val="12.0"/>
        <u/>
      </rPr>
      <t>Cargar Excel de asistencia de la actividad remitida por la Coordinación de Proyección Social (diligenciado por parte de los participantes)</t>
    </r>
    <r>
      <rPr>
        <rFont val="Arial"/>
        <color rgb="FF1155CC"/>
        <sz val="12.0"/>
        <u/>
      </rPr>
      <t xml:space="preserve">
Cargar </t>
    </r>
    <r>
      <rPr>
        <rFont val="Arial"/>
        <b/>
        <color rgb="FF1155CC"/>
        <sz val="12.0"/>
        <u/>
      </rPr>
      <t>planilla de certificación SNIES</t>
    </r>
    <r>
      <rPr>
        <rFont val="Arial"/>
        <color rgb="FF1155CC"/>
        <sz val="12.0"/>
        <u/>
      </rPr>
      <t xml:space="preserve"> con la totalidad de participantes a certificar, con previa verificación de nombres y apellidos de los participantes en página de la Polícia.
Link ejemplo ubicado en la carpeta Documentos Generales - Planilla de certificación SNIES:
</t>
    </r>
    <r>
      <rPr>
        <rFont val="Arial"/>
        <color rgb="FF1155CC"/>
        <sz val="12.0"/>
        <u/>
      </rPr>
      <t>https://drive.google.com/drive/u/1/folders/1brOzvgm6dBZq8OXVNiwxpOofTEraF8no</t>
    </r>
    <r>
      <rPr>
        <rFont val="Arial"/>
        <color rgb="FF1155CC"/>
        <sz val="12.0"/>
        <u/>
      </rPr>
      <t xml:space="preserve"> </t>
    </r>
  </si>
  <si>
    <t>GESTIÓN DE PRESUPUESTO</t>
  </si>
  <si>
    <t>Firmar del formato “Autorización de Descuento de Nómina”</t>
  </si>
  <si>
    <t>Cargar el documento firmado en formato PDF</t>
  </si>
  <si>
    <t>Firma y relación de cuenta bancaria en el formato “Solicitud de Gastos de Viaje”</t>
  </si>
  <si>
    <t>El titular de la cuenta debe ser el docente.
En caso de no contar con Nequi o Daviplata, relacionar el número de cuenta de nómina y adjuntar el Certificado Bancario.
Cargar el documento en formato PDF.</t>
  </si>
  <si>
    <t>Firma y relación de Facturas, en el formato “Legalización de Gastos de Viaje” de forma mensual</t>
  </si>
  <si>
    <t>Firmar el formato y cargalo a la carpeta correpondiente
Correspondiente al mes en curso</t>
  </si>
  <si>
    <t>Cargue de facturas de legalización en Drive de forma mensual</t>
  </si>
  <si>
    <t>Cargar facturas del mes en curso a la carpeta correspondiente</t>
  </si>
  <si>
    <t>VARIOS</t>
  </si>
  <si>
    <t>ETREGABLE</t>
  </si>
  <si>
    <t>Solicitud  salones para actividades Cunistas</t>
  </si>
  <si>
    <t>Enviar solicitud de salón vía correo eléctronico con copia al líder del programa,  liliana_villamizar@cun.edu.co y analísta asignado del área de proyección social.
Cargar una captura de pantalla del envío del correo electrónico en la carpeta correspondiente.</t>
  </si>
  <si>
    <t>Solicitud de certificado de ARL para translados fuera del lugar del trabajo.</t>
  </si>
  <si>
    <t>Enviar correo eléctronico al área de seguridad y salud en el trabajo, solicitando certificado de ARL para translados fuera del lugar de trabajo.
Cargar una captura de pantalla del envío del correo electrónico en la carpeta correspondiente.</t>
  </si>
  <si>
    <t>Solicitud de carta de voluntario</t>
  </si>
  <si>
    <r>
      <rPr>
        <rFont val="Arial"/>
        <sz val="12.0"/>
      </rPr>
      <t xml:space="preserve">Diligenciar documento formato de voluntariado por parte de ponente invitado a capacitación
</t>
    </r>
    <r>
      <rPr>
        <rFont val="Arial"/>
        <color rgb="FF1155CC"/>
        <sz val="12.0"/>
        <u/>
      </rPr>
      <t>https://docs.google.com/document/d/196XkDmBKi-FMoAEyyqEjvVbvJTER5hMR/edit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</si>
</sst>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de &quot;mmmm&quot; de &quot;yyyy"/>
    <numFmt numFmtId="165" formatCode="dddd&quot;, &quot;d&quot; de &quot;mmmm&quot; de &quot;yy"/>
    <numFmt numFmtId="166" formatCode="dddd, d&quot; de &quot;mmmm"/>
  </numFmts>
  <fonts count="31">
    <font>
      <sz val="10.0"/>
      <color rgb="FF000000"/>
      <name val="Arial"/>
      <scheme val="minor"/>
    </font>
    <font>
      <b/>
      <sz val="11.0"/>
      <color rgb="FFFFFFFF"/>
      <name val="Arial"/>
    </font>
    <font/>
    <font>
      <sz val="11.0"/>
      <color theme="1"/>
      <name val="Arial"/>
    </font>
    <font>
      <b/>
      <sz val="11.0"/>
      <color theme="1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467886"/>
      <name val="Arial"/>
    </font>
    <font>
      <sz val="12.0"/>
      <color theme="1"/>
      <name val="Arial"/>
    </font>
    <font>
      <color theme="1"/>
      <name val="Arial"/>
    </font>
    <font>
      <u/>
      <sz val="11.0"/>
      <color theme="1"/>
      <name val="Arial"/>
    </font>
    <font>
      <b/>
      <color theme="1"/>
      <name val="Arial"/>
    </font>
    <font>
      <u/>
      <sz val="11.0"/>
      <color rgb="FF0000FF"/>
      <name val="Arial"/>
    </font>
    <font>
      <b/>
      <sz val="11.0"/>
      <color theme="1"/>
      <name val="Aptos Narrow"/>
    </font>
    <font>
      <u/>
      <sz val="11.0"/>
      <color rgb="FF1155CC"/>
      <name val="Arial"/>
    </font>
    <font>
      <b/>
      <sz val="12.0"/>
      <color rgb="FFFFFFFF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467886"/>
      <name val="Arial"/>
    </font>
    <font>
      <u/>
      <sz val="11.0"/>
      <color rgb="FF1155CC"/>
      <name val="Arial"/>
    </font>
    <font>
      <b/>
      <sz val="12.0"/>
      <color theme="1"/>
      <name val="Arial"/>
    </font>
    <font>
      <u/>
      <sz val="12.0"/>
      <color rgb="FF0000FF"/>
      <name val="Arial"/>
    </font>
    <font>
      <u/>
      <sz val="12.0"/>
      <color rgb="FF1155CC"/>
      <name val="Arial"/>
    </font>
    <font>
      <u/>
      <sz val="12.0"/>
      <color theme="1"/>
      <name val="Arial"/>
    </font>
    <font>
      <u/>
      <sz val="12.0"/>
      <color rgb="FF0000FF"/>
      <name val="Arial"/>
    </font>
    <font>
      <u/>
      <sz val="12.0"/>
      <color rgb="FF1155CC"/>
      <name val="Arial"/>
    </font>
    <font>
      <u/>
      <sz val="12.0"/>
      <color rgb="FF467886"/>
      <name val="Arial"/>
    </font>
    <font>
      <u/>
      <sz val="12.0"/>
      <color rgb="FF1155CC"/>
      <name val="Arial"/>
    </font>
    <font>
      <u/>
      <sz val="12.0"/>
      <color theme="1"/>
      <name val="Arial"/>
    </font>
    <font>
      <u/>
      <sz val="12.0"/>
      <color rgb="FF1155CC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5B9BD5"/>
        <bgColor rgb="FF5B9BD5"/>
      </patternFill>
    </fill>
    <fill>
      <patternFill patternType="solid">
        <fgColor rgb="FFEAC4C4"/>
        <bgColor rgb="FFEAC4C4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E3C5E3"/>
        <bgColor rgb="FFE3C5E3"/>
      </patternFill>
    </fill>
    <fill>
      <patternFill patternType="solid">
        <fgColor rgb="FFCACA8D"/>
        <bgColor rgb="FFCACA8D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6" fillId="0" fontId="4" numFmtId="1" xfId="0" applyAlignment="1" applyBorder="1" applyFont="1" applyNumberFormat="1">
      <alignment horizontal="center" shrinkToFit="0" vertical="center" wrapText="1"/>
    </xf>
    <xf borderId="7" fillId="0" fontId="4" numFmtId="1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8" fillId="0" fontId="2" numFmtId="0" xfId="0" applyBorder="1" applyFont="1"/>
    <xf borderId="9" fillId="0" fontId="2" numFmtId="0" xfId="0" applyBorder="1" applyFont="1"/>
    <xf borderId="1" fillId="3" fontId="5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2" fontId="1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6" fillId="4" fontId="1" numFmtId="0" xfId="0" applyAlignment="1" applyBorder="1" applyFill="1" applyFont="1">
      <alignment horizontal="center" shrinkToFit="0" vertical="center" wrapText="1"/>
    </xf>
    <xf borderId="6" fillId="4" fontId="1" numFmtId="0" xfId="0" applyAlignment="1" applyBorder="1" applyFont="1">
      <alignment horizontal="center" vertical="center"/>
    </xf>
    <xf borderId="6" fillId="4" fontId="1" numFmtId="164" xfId="0" applyAlignment="1" applyBorder="1" applyFont="1" applyNumberFormat="1">
      <alignment horizontal="center" shrinkToFit="0" vertical="center" wrapText="1"/>
    </xf>
    <xf borderId="7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6" fillId="7" fontId="4" numFmtId="0" xfId="0" applyAlignment="1" applyBorder="1" applyFill="1" applyFont="1">
      <alignment horizontal="center" shrinkToFit="0" vertical="center" wrapText="1"/>
    </xf>
    <xf borderId="6" fillId="6" fontId="3" numFmtId="165" xfId="0" applyAlignment="1" applyBorder="1" applyFont="1" applyNumberFormat="1">
      <alignment vertical="center"/>
    </xf>
    <xf borderId="7" fillId="3" fontId="4" numFmtId="1" xfId="0" applyAlignment="1" applyBorder="1" applyFont="1" applyNumberFormat="1">
      <alignment horizontal="center" shrinkToFit="0" vertical="center" wrapText="1"/>
    </xf>
    <xf borderId="6" fillId="8" fontId="4" numFmtId="0" xfId="0" applyAlignment="1" applyBorder="1" applyFill="1" applyFont="1">
      <alignment horizontal="center" shrinkToFit="0" vertical="center" wrapText="1"/>
    </xf>
    <xf borderId="7" fillId="9" fontId="3" numFmtId="1" xfId="0" applyAlignment="1" applyBorder="1" applyFill="1" applyFont="1" applyNumberFormat="1">
      <alignment horizontal="center" vertical="center"/>
    </xf>
    <xf borderId="6" fillId="3" fontId="3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6" fillId="0" fontId="3" numFmtId="165" xfId="0" applyAlignment="1" applyBorder="1" applyFont="1" applyNumberFormat="1">
      <alignment horizontal="center" shrinkToFit="0" vertical="center" wrapText="1"/>
    </xf>
    <xf borderId="6" fillId="7" fontId="3" numFmtId="0" xfId="0" applyAlignment="1" applyBorder="1" applyFont="1">
      <alignment horizontal="center" shrinkToFit="0" vertical="center" wrapText="1"/>
    </xf>
    <xf borderId="6" fillId="8" fontId="3" numFmtId="165" xfId="0" applyAlignment="1" applyBorder="1" applyFont="1" applyNumberFormat="1">
      <alignment horizontal="center" shrinkToFit="0" vertical="center" wrapText="1"/>
    </xf>
    <xf borderId="6" fillId="9" fontId="4" numFmtId="0" xfId="0" applyAlignment="1" applyBorder="1" applyFont="1">
      <alignment horizontal="center" shrinkToFit="0" vertical="center" wrapText="1"/>
    </xf>
    <xf borderId="6" fillId="9" fontId="3" numFmtId="165" xfId="0" applyAlignment="1" applyBorder="1" applyFont="1" applyNumberFormat="1">
      <alignment horizontal="center"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6" fillId="10" fontId="4" numFmtId="0" xfId="0" applyAlignment="1" applyBorder="1" applyFill="1" applyFont="1">
      <alignment horizontal="center" shrinkToFit="0" vertical="center" wrapText="1"/>
    </xf>
    <xf borderId="6" fillId="6" fontId="3" numFmtId="1" xfId="0" applyAlignment="1" applyBorder="1" applyFont="1" applyNumberFormat="1">
      <alignment vertical="center"/>
    </xf>
    <xf borderId="7" fillId="11" fontId="3" numFmtId="1" xfId="0" applyAlignment="1" applyBorder="1" applyFill="1" applyFont="1" applyNumberFormat="1">
      <alignment horizontal="center" vertical="center"/>
    </xf>
    <xf borderId="6" fillId="10" fontId="3" numFmtId="0" xfId="0" applyAlignment="1" applyBorder="1" applyFont="1">
      <alignment horizontal="center" shrinkToFit="0" vertical="center" wrapText="1"/>
    </xf>
    <xf borderId="6" fillId="12" fontId="4" numFmtId="0" xfId="0" applyAlignment="1" applyBorder="1" applyFill="1" applyFont="1">
      <alignment horizontal="center" shrinkToFit="0" vertical="center" wrapText="1"/>
    </xf>
    <xf borderId="6" fillId="12" fontId="3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vertical="center"/>
    </xf>
    <xf borderId="6" fillId="13" fontId="4" numFmtId="0" xfId="0" applyAlignment="1" applyBorder="1" applyFill="1" applyFont="1">
      <alignment horizontal="center" shrinkToFit="0" vertical="center" wrapText="1"/>
    </xf>
    <xf borderId="7" fillId="8" fontId="3" numFmtId="1" xfId="0" applyAlignment="1" applyBorder="1" applyFont="1" applyNumberFormat="1">
      <alignment horizontal="center" vertical="center"/>
    </xf>
    <xf borderId="6" fillId="13" fontId="3" numFmtId="0" xfId="0" applyAlignment="1" applyBorder="1" applyFont="1">
      <alignment horizontal="center" shrinkToFit="0" vertical="center" wrapText="1"/>
    </xf>
    <xf borderId="6" fillId="11" fontId="4" numFmtId="0" xfId="0" applyAlignment="1" applyBorder="1" applyFont="1">
      <alignment horizontal="center" shrinkToFit="0" vertical="center" wrapText="1"/>
    </xf>
    <xf borderId="6" fillId="11" fontId="3" numFmtId="165" xfId="0" applyAlignment="1" applyBorder="1" applyFont="1" applyNumberFormat="1">
      <alignment horizontal="center" shrinkToFit="0" vertical="center" wrapText="1"/>
    </xf>
    <xf borderId="6" fillId="3" fontId="8" numFmtId="0" xfId="0" applyAlignment="1" applyBorder="1" applyFont="1">
      <alignment horizontal="center" shrinkToFit="0" vertical="center" wrapText="1"/>
    </xf>
    <xf borderId="7" fillId="14" fontId="4" numFmtId="0" xfId="0" applyAlignment="1" applyBorder="1" applyFill="1" applyFont="1">
      <alignment horizontal="center" shrinkToFit="0" vertical="center" wrapText="1"/>
    </xf>
    <xf borderId="6" fillId="15" fontId="4" numFmtId="0" xfId="0" applyAlignment="1" applyBorder="1" applyFill="1" applyFont="1">
      <alignment horizontal="center" shrinkToFit="0" vertical="center" wrapText="1"/>
    </xf>
    <xf borderId="6" fillId="15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6" fillId="3" fontId="3" numFmtId="165" xfId="0" applyAlignment="1" applyBorder="1" applyFont="1" applyNumberFormat="1">
      <alignment horizontal="center" shrinkToFit="0" vertical="center" wrapText="1"/>
    </xf>
    <xf borderId="1" fillId="6" fontId="4" numFmtId="0" xfId="0" applyAlignment="1" applyBorder="1" applyFont="1">
      <alignment horizontal="center" vertical="center"/>
    </xf>
    <xf borderId="6" fillId="16" fontId="4" numFmtId="0" xfId="0" applyAlignment="1" applyBorder="1" applyFill="1" applyFont="1">
      <alignment horizontal="center" shrinkToFit="0" vertical="center" wrapText="1"/>
    </xf>
    <xf borderId="7" fillId="9" fontId="4" numFmtId="1" xfId="0" applyAlignment="1" applyBorder="1" applyFont="1" applyNumberFormat="1">
      <alignment horizontal="center" vertical="center"/>
    </xf>
    <xf borderId="6" fillId="16" fontId="3" numFmtId="0" xfId="0" applyAlignment="1" applyBorder="1" applyFont="1">
      <alignment horizontal="center" shrinkToFit="0" vertical="center" wrapText="1"/>
    </xf>
    <xf borderId="6" fillId="9" fontId="3" numFmtId="165" xfId="0" applyAlignment="1" applyBorder="1" applyFont="1" applyNumberFormat="1">
      <alignment vertical="center"/>
    </xf>
    <xf borderId="6" fillId="6" fontId="3" numFmtId="0" xfId="0" applyAlignment="1" applyBorder="1" applyFont="1">
      <alignment vertical="center"/>
    </xf>
    <xf borderId="6" fillId="17" fontId="4" numFmtId="0" xfId="0" applyAlignment="1" applyBorder="1" applyFill="1" applyFont="1">
      <alignment horizontal="center" shrinkToFit="0" vertical="center" wrapText="1"/>
    </xf>
    <xf borderId="6" fillId="17" fontId="3" numFmtId="0" xfId="0" applyAlignment="1" applyBorder="1" applyFont="1">
      <alignment horizontal="center" shrinkToFit="0" vertical="center" wrapText="1"/>
    </xf>
    <xf borderId="6" fillId="18" fontId="4" numFmtId="3" xfId="0" applyAlignment="1" applyBorder="1" applyFill="1" applyFont="1" applyNumberFormat="1">
      <alignment horizontal="center" shrinkToFit="0" vertical="center" wrapText="1"/>
    </xf>
    <xf borderId="6" fillId="18" fontId="3" numFmtId="3" xfId="0" applyAlignment="1" applyBorder="1" applyFont="1" applyNumberFormat="1">
      <alignment horizontal="center" shrinkToFit="0" vertical="center" wrapText="1"/>
    </xf>
    <xf borderId="7" fillId="12" fontId="9" numFmtId="0" xfId="0" applyAlignment="1" applyBorder="1" applyFont="1">
      <alignment horizontal="center" shrinkToFit="0" vertical="center" wrapText="1"/>
    </xf>
    <xf borderId="6" fillId="19" fontId="3" numFmtId="0" xfId="0" applyAlignment="1" applyBorder="1" applyFill="1" applyFont="1">
      <alignment horizontal="center" shrinkToFit="0" vertical="center" wrapText="1"/>
    </xf>
    <xf borderId="6" fillId="6" fontId="4" numFmtId="0" xfId="0" applyAlignment="1" applyBorder="1" applyFont="1">
      <alignment horizontal="center" shrinkToFit="0" vertical="center" wrapText="1"/>
    </xf>
    <xf borderId="7" fillId="3" fontId="3" numFmtId="1" xfId="0" applyAlignment="1" applyBorder="1" applyFont="1" applyNumberFormat="1">
      <alignment horizontal="center" vertical="center"/>
    </xf>
    <xf borderId="6" fillId="20" fontId="4" numFmtId="0" xfId="0" applyAlignment="1" applyBorder="1" applyFill="1" applyFont="1">
      <alignment horizontal="center" shrinkToFit="0" vertical="center" wrapText="1"/>
    </xf>
    <xf borderId="6" fillId="6" fontId="10" numFmtId="0" xfId="0" applyAlignment="1" applyBorder="1" applyFont="1">
      <alignment horizontal="center" vertical="center"/>
    </xf>
    <xf borderId="6" fillId="20" fontId="3" numFmtId="0" xfId="0" applyAlignment="1" applyBorder="1" applyFont="1">
      <alignment horizontal="center" shrinkToFit="0" vertical="center" wrapText="1"/>
    </xf>
    <xf borderId="6" fillId="3" fontId="11" numFmtId="0" xfId="0" applyAlignment="1" applyBorder="1" applyFont="1">
      <alignment horizontal="center" shrinkToFit="0" vertical="center" wrapText="1"/>
    </xf>
    <xf borderId="6" fillId="8" fontId="4" numFmtId="0" xfId="0" applyAlignment="1" applyBorder="1" applyFont="1">
      <alignment horizontal="center" vertical="center"/>
    </xf>
    <xf borderId="7" fillId="8" fontId="4" numFmtId="3" xfId="0" applyAlignment="1" applyBorder="1" applyFont="1" applyNumberFormat="1">
      <alignment horizontal="center" vertical="center"/>
    </xf>
    <xf borderId="6" fillId="6" fontId="3" numFmtId="0" xfId="0" applyAlignment="1" applyBorder="1" applyFont="1">
      <alignment horizontal="center" shrinkToFit="0" vertical="center" wrapText="1"/>
    </xf>
    <xf borderId="6" fillId="11" fontId="4" numFmtId="0" xfId="0" applyAlignment="1" applyBorder="1" applyFont="1">
      <alignment horizontal="center" vertical="center"/>
    </xf>
    <xf borderId="6" fillId="21" fontId="4" numFmtId="0" xfId="0" applyAlignment="1" applyBorder="1" applyFill="1" applyFont="1">
      <alignment horizontal="center" shrinkToFit="0" vertical="center" wrapText="1"/>
    </xf>
    <xf borderId="7" fillId="8" fontId="4" numFmtId="0" xfId="0" applyAlignment="1" applyBorder="1" applyFont="1">
      <alignment horizontal="center" vertical="center"/>
    </xf>
    <xf borderId="6" fillId="0" fontId="3" numFmtId="166" xfId="0" applyAlignment="1" applyBorder="1" applyFont="1" applyNumberFormat="1">
      <alignment horizontal="center" shrinkToFit="0" vertical="center" wrapText="1"/>
    </xf>
    <xf borderId="6" fillId="21" fontId="10" numFmtId="0" xfId="0" applyAlignment="1" applyBorder="1" applyFont="1">
      <alignment horizontal="center" shrinkToFit="0" vertical="center" wrapText="1"/>
    </xf>
    <xf borderId="6" fillId="11" fontId="3" numFmtId="166" xfId="0" applyAlignment="1" applyBorder="1" applyFont="1" applyNumberFormat="1">
      <alignment horizontal="center" shrinkToFit="0" vertical="center" wrapText="1"/>
    </xf>
    <xf borderId="6" fillId="9" fontId="3" numFmtId="166" xfId="0" applyAlignment="1" applyBorder="1" applyFont="1" applyNumberFormat="1">
      <alignment horizontal="center" shrinkToFit="0" vertical="center" wrapText="1"/>
    </xf>
    <xf borderId="6" fillId="8" fontId="3" numFmtId="166" xfId="0" applyAlignment="1" applyBorder="1" applyFont="1" applyNumberFormat="1">
      <alignment horizontal="center" shrinkToFit="0" vertical="center" wrapText="1"/>
    </xf>
    <xf borderId="6" fillId="6" fontId="10" numFmtId="0" xfId="0" applyAlignment="1" applyBorder="1" applyFont="1">
      <alignment vertical="center"/>
    </xf>
    <xf borderId="7" fillId="8" fontId="12" numFmtId="0" xfId="0" applyAlignment="1" applyBorder="1" applyFont="1">
      <alignment horizontal="center" vertical="center"/>
    </xf>
    <xf borderId="7" fillId="11" fontId="12" numFmtId="0" xfId="0" applyAlignment="1" applyBorder="1" applyFont="1">
      <alignment horizontal="center" vertical="center"/>
    </xf>
    <xf borderId="3" fillId="3" fontId="13" numFmtId="0" xfId="0" applyAlignment="1" applyBorder="1" applyFont="1">
      <alignment horizontal="center" shrinkToFit="0" vertical="center" wrapText="1"/>
    </xf>
    <xf borderId="6" fillId="3" fontId="3" numFmtId="166" xfId="0" applyAlignment="1" applyBorder="1" applyFont="1" applyNumberFormat="1">
      <alignment horizontal="center" shrinkToFit="0" vertical="center" wrapText="1"/>
    </xf>
    <xf borderId="6" fillId="16" fontId="10" numFmtId="0" xfId="0" applyAlignment="1" applyBorder="1" applyFont="1">
      <alignment horizontal="center" shrinkToFit="0" vertical="center" wrapText="1"/>
    </xf>
    <xf borderId="7" fillId="22" fontId="3" numFmtId="0" xfId="0" applyAlignment="1" applyBorder="1" applyFill="1" applyFont="1">
      <alignment vertical="center"/>
    </xf>
    <xf borderId="7" fillId="0" fontId="3" numFmtId="0" xfId="0" applyAlignment="1" applyBorder="1" applyFont="1">
      <alignment vertical="center"/>
    </xf>
    <xf borderId="7" fillId="9" fontId="14" numFmtId="1" xfId="0" applyAlignment="1" applyBorder="1" applyFont="1" applyNumberFormat="1">
      <alignment horizontal="center" vertical="center"/>
    </xf>
    <xf borderId="7" fillId="8" fontId="14" numFmtId="1" xfId="0" applyAlignment="1" applyBorder="1" applyFont="1" applyNumberFormat="1">
      <alignment horizontal="center" vertical="center"/>
    </xf>
    <xf borderId="6" fillId="10" fontId="3" numFmtId="0" xfId="0" applyAlignment="1" applyBorder="1" applyFont="1">
      <alignment horizontal="center" vertical="center"/>
    </xf>
    <xf borderId="6" fillId="9" fontId="4" numFmtId="0" xfId="0" applyAlignment="1" applyBorder="1" applyFont="1">
      <alignment horizontal="center" vertical="center"/>
    </xf>
    <xf borderId="6" fillId="23" fontId="4" numFmtId="0" xfId="0" applyAlignment="1" applyBorder="1" applyFill="1" applyFont="1">
      <alignment horizontal="center" shrinkToFit="0" vertical="center" wrapText="1"/>
    </xf>
    <xf borderId="7" fillId="8" fontId="4" numFmtId="1" xfId="0" applyAlignment="1" applyBorder="1" applyFont="1" applyNumberFormat="1">
      <alignment horizontal="center" vertical="center"/>
    </xf>
    <xf borderId="6" fillId="23" fontId="3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center" shrinkToFit="0" vertical="center" wrapText="1"/>
    </xf>
    <xf borderId="6" fillId="24" fontId="4" numFmtId="0" xfId="0" applyAlignment="1" applyBorder="1" applyFill="1" applyFont="1">
      <alignment horizontal="center" shrinkToFit="0" vertical="center" wrapText="1"/>
    </xf>
    <xf borderId="6" fillId="24" fontId="3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shrinkToFit="0" wrapText="1"/>
    </xf>
    <xf borderId="6" fillId="10" fontId="4" numFmtId="0" xfId="0" applyAlignment="1" applyBorder="1" applyFont="1">
      <alignment horizontal="center" shrinkToFit="0" wrapText="1"/>
    </xf>
    <xf borderId="6" fillId="6" fontId="10" numFmtId="0" xfId="0" applyBorder="1" applyFont="1"/>
    <xf borderId="0" fillId="0" fontId="9" numFmtId="0" xfId="0" applyAlignment="1" applyFont="1">
      <alignment horizontal="center" shrinkToFit="0" vertical="center" wrapText="1"/>
    </xf>
    <xf borderId="7" fillId="2" fontId="16" numFmtId="0" xfId="0" applyAlignment="1" applyBorder="1" applyFont="1">
      <alignment horizontal="center" readingOrder="0" shrinkToFit="0" vertical="center" wrapText="1"/>
    </xf>
    <xf borderId="6" fillId="2" fontId="16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17" numFmtId="0" xfId="0" applyAlignment="1" applyBorder="1" applyFont="1">
      <alignment horizontal="center" readingOrder="0" shrinkToFit="0" vertical="center" wrapText="1"/>
    </xf>
    <xf borderId="6" fillId="3" fontId="18" numFmtId="0" xfId="0" applyAlignment="1" applyBorder="1" applyFont="1">
      <alignment horizontal="center" readingOrder="0" shrinkToFit="0" vertical="center" wrapText="1"/>
    </xf>
    <xf borderId="6" fillId="3" fontId="19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3" fontId="9" numFmtId="0" xfId="0" applyAlignment="1" applyBorder="1" applyFont="1">
      <alignment horizontal="center" shrinkToFit="0" vertical="center" wrapText="1"/>
    </xf>
    <xf borderId="6" fillId="0" fontId="20" numFmtId="0" xfId="0" applyAlignment="1" applyBorder="1" applyFont="1">
      <alignment horizontal="center" readingOrder="0" shrinkToFit="0" vertical="center" wrapText="1"/>
    </xf>
    <xf borderId="6" fillId="0" fontId="21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3" fontId="22" numFmtId="0" xfId="0" applyAlignment="1" applyBorder="1" applyFont="1">
      <alignment horizontal="center" shrinkToFit="0" vertical="center" wrapText="1"/>
    </xf>
    <xf borderId="6" fillId="3" fontId="9" numFmtId="0" xfId="0" applyAlignment="1" applyBorder="1" applyFont="1">
      <alignment horizontal="center" readingOrder="0" shrinkToFit="0" vertical="center" wrapText="1"/>
    </xf>
    <xf borderId="6" fillId="3" fontId="23" numFmtId="0" xfId="0" applyAlignment="1" applyBorder="1" applyFont="1">
      <alignment horizontal="center" shrinkToFit="0" vertical="center" wrapText="1"/>
    </xf>
    <xf borderId="6" fillId="3" fontId="24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readingOrder="0" shrinkToFit="0" vertical="center" wrapText="1"/>
    </xf>
    <xf borderId="6" fillId="0" fontId="25" numFmtId="0" xfId="0" applyAlignment="1" applyBorder="1" applyFont="1">
      <alignment horizontal="center" readingOrder="0" shrinkToFit="0" vertical="center" wrapText="1"/>
    </xf>
    <xf borderId="6" fillId="0" fontId="26" numFmtId="0" xfId="0" applyAlignment="1" applyBorder="1" applyFont="1">
      <alignment horizontal="center" shrinkToFit="0" vertical="center" wrapText="1"/>
    </xf>
    <xf borderId="6" fillId="0" fontId="27" numFmtId="0" xfId="0" applyAlignment="1" applyBorder="1" applyFont="1">
      <alignment horizontal="center" shrinkToFit="0" vertical="center" wrapText="1"/>
    </xf>
    <xf borderId="6" fillId="0" fontId="28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0" fontId="29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vs6E91cl6LcXLw8yY6jQ_Jn1mxzsDxBc?usp=drive_link" TargetMode="External"/><Relationship Id="rId20" Type="http://schemas.openxmlformats.org/officeDocument/2006/relationships/hyperlink" Target="https://drive.google.com/drive/u/0/folders/17GacEVYDeC6kA7TrCKhZdgSBJG6QqXof" TargetMode="External"/><Relationship Id="rId42" Type="http://schemas.openxmlformats.org/officeDocument/2006/relationships/hyperlink" Target="https://drive.google.com/drive/folders/1vs6E91cl6LcXLw8yY6jQ_Jn1mxzsDxBc?usp=drive_link" TargetMode="External"/><Relationship Id="rId41" Type="http://schemas.openxmlformats.org/officeDocument/2006/relationships/hyperlink" Target="https://drive.google.com/drive/u/1/folders/1brOzvgm6dBZq8OXVNiwxpOofTEraF8no" TargetMode="External"/><Relationship Id="rId22" Type="http://schemas.openxmlformats.org/officeDocument/2006/relationships/hyperlink" Target="https://drive.google.com/drive/u/0/folders/1PVsWxM3VxrRzpaVj2t6zmBWPPkB0n8QY" TargetMode="External"/><Relationship Id="rId44" Type="http://schemas.openxmlformats.org/officeDocument/2006/relationships/hyperlink" Target="https://drive.google.com/drive/u/1/folders/1brOzvgm6dBZq8OXVNiwxpOofTEraF8no" TargetMode="External"/><Relationship Id="rId21" Type="http://schemas.openxmlformats.org/officeDocument/2006/relationships/hyperlink" Target="https://docs.google.com/forms/d/e/1FAIpQLSetXuxlMADRSseWAK-f_cW-FfAiHslH3yL4SbLfJcMgMBLsTQ/viewform" TargetMode="External"/><Relationship Id="rId43" Type="http://schemas.openxmlformats.org/officeDocument/2006/relationships/hyperlink" Target="https://drive.google.com/drive/folders/1vs6E91cl6LcXLw8yY6jQ_Jn1mxzsDxBc?usp=drive_link" TargetMode="External"/><Relationship Id="rId24" Type="http://schemas.openxmlformats.org/officeDocument/2006/relationships/hyperlink" Target="https://forms.gle/mevkNxo5b6tVE7Bw8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drive.google.com/drive/folders/1A2F6TLR7UJBlcaDHXikaP1hbAXgSdetv?usp=drive_link" TargetMode="External"/><Relationship Id="rId45" Type="http://schemas.openxmlformats.org/officeDocument/2006/relationships/hyperlink" Target="https://drive.google.com/drive/u/1/folders/1YJKs6nlr1vlISodCUA1m3dx2MpJjtEOQ" TargetMode="External"/><Relationship Id="rId1" Type="http://schemas.openxmlformats.org/officeDocument/2006/relationships/hyperlink" Target="https://drive.google.com/drive/folders/1nrYh_1BP7Fm1ZCtMXABVQzEZrndcgl8Y?usp=drive_link" TargetMode="External"/><Relationship Id="rId2" Type="http://schemas.openxmlformats.org/officeDocument/2006/relationships/hyperlink" Target="https://forms.gle/6QWzHndSEHYpmps17" TargetMode="External"/><Relationship Id="rId3" Type="http://schemas.openxmlformats.org/officeDocument/2006/relationships/hyperlink" Target="https://forms.gle/zFiiaxxhHd2E19B66" TargetMode="External"/><Relationship Id="rId4" Type="http://schemas.openxmlformats.org/officeDocument/2006/relationships/hyperlink" Target="https://forms.gle/2LReSQPcpfTAMD7o7" TargetMode="External"/><Relationship Id="rId9" Type="http://schemas.openxmlformats.org/officeDocument/2006/relationships/hyperlink" Target="https://drive.google.com/drive/u/2/folders/1O-Hq47gfuRRsag-5gBITaVaXG_FC0KLq" TargetMode="External"/><Relationship Id="rId26" Type="http://schemas.openxmlformats.org/officeDocument/2006/relationships/hyperlink" Target="https://forms.gle/xAHMRi3YQrnKwSXw5" TargetMode="External"/><Relationship Id="rId25" Type="http://schemas.openxmlformats.org/officeDocument/2006/relationships/hyperlink" Target="https://docs.google.com/presentation/d/1POuNccDTPg1ORlj01QvVy_SNYOhne6Ms/edit?usp=drive_link&amp;ouid=112119804896574368959&amp;rtpof=true&amp;sd=true" TargetMode="External"/><Relationship Id="rId28" Type="http://schemas.openxmlformats.org/officeDocument/2006/relationships/hyperlink" Target="https://drive.google.com/drive/u/1/folders/1YJKs6nlr1vlISodCUA1m3dx2MpJjtEOQ" TargetMode="External"/><Relationship Id="rId27" Type="http://schemas.openxmlformats.org/officeDocument/2006/relationships/hyperlink" Target="https://drive.google.com/drive/folders/1A2F6TLR7UJBlcaDHXikaP1hbAXgSdetv?usp=drive_link" TargetMode="External"/><Relationship Id="rId5" Type="http://schemas.openxmlformats.org/officeDocument/2006/relationships/hyperlink" Target="https://forms.gle/5mHUFQHkfhZGtRZ99" TargetMode="External"/><Relationship Id="rId6" Type="http://schemas.openxmlformats.org/officeDocument/2006/relationships/hyperlink" Target="https://drive.google.com/file/d/1AYwBC4LVnLRW9uoUN6c1D8yC-EdWZMTv/view" TargetMode="External"/><Relationship Id="rId29" Type="http://schemas.openxmlformats.org/officeDocument/2006/relationships/hyperlink" Target="https://drive.google.com/drive/folders/1Td1fGiV2CCUfaTX8ixniPdiRrFpj5k6D?usp=drive_link" TargetMode="External"/><Relationship Id="rId7" Type="http://schemas.openxmlformats.org/officeDocument/2006/relationships/hyperlink" Target="https://forms.gle/aFiJXnBs47yLNzRD8" TargetMode="External"/><Relationship Id="rId8" Type="http://schemas.openxmlformats.org/officeDocument/2006/relationships/hyperlink" Target="https://forms.gle/1v5EA3p4fJqfAEQDA" TargetMode="External"/><Relationship Id="rId31" Type="http://schemas.openxmlformats.org/officeDocument/2006/relationships/hyperlink" Target="https://drive.google.com/drive/u/2/folders/1bsNEtWwkn85Bk-bWNzCWMlZPbd22zekC" TargetMode="External"/><Relationship Id="rId30" Type="http://schemas.openxmlformats.org/officeDocument/2006/relationships/hyperlink" Target="https://drive.google.com/drive/folders/1A2F6TLR7UJBlcaDHXikaP1hbAXgSdetv?usp=drive_link" TargetMode="External"/><Relationship Id="rId11" Type="http://schemas.openxmlformats.org/officeDocument/2006/relationships/hyperlink" Target="https://forms.gle/w1dGG9gwaEXheEWX6" TargetMode="External"/><Relationship Id="rId33" Type="http://schemas.openxmlformats.org/officeDocument/2006/relationships/hyperlink" Target="https://drive.google.com/drive/folders/1OnWzrqYUTmG42cijuh3A5NfiTxR73x5B?usp=drive_link" TargetMode="External"/><Relationship Id="rId10" Type="http://schemas.openxmlformats.org/officeDocument/2006/relationships/hyperlink" Target="https://drive.google.com/drive/folders/1OnWzrqYUTmG42cijuh3A5NfiTxR73x5B?usp=drive_link" TargetMode="External"/><Relationship Id="rId32" Type="http://schemas.openxmlformats.org/officeDocument/2006/relationships/hyperlink" Target="https://drive.google.com/drive/u/2/folders/1bsNEtWwkn85Bk-bWNzCWMlZPbd22zekC" TargetMode="External"/><Relationship Id="rId13" Type="http://schemas.openxmlformats.org/officeDocument/2006/relationships/hyperlink" Target="https://drive.google.com/drive/folders/14qK-4liLDB9wPHSggaSLwWFHQAJjvOAC?usp=drive_link" TargetMode="External"/><Relationship Id="rId35" Type="http://schemas.openxmlformats.org/officeDocument/2006/relationships/hyperlink" Target="https://drive.google.com/drive/folders/1A2F6TLR7UJBlcaDHXikaP1hbAXgSdetv?usp=drive_link" TargetMode="External"/><Relationship Id="rId12" Type="http://schemas.openxmlformats.org/officeDocument/2006/relationships/hyperlink" Target="https://drive.google.com/drive/u/0/folders/1A2F6TLR7UJBlcaDHXikaP1hbAXgSdetv" TargetMode="External"/><Relationship Id="rId34" Type="http://schemas.openxmlformats.org/officeDocument/2006/relationships/hyperlink" Target="https://drive.google.com/drive/u/1/folders/1YJKs6nlr1vlISodCUA1m3dx2MpJjtEOQ" TargetMode="External"/><Relationship Id="rId15" Type="http://schemas.openxmlformats.org/officeDocument/2006/relationships/hyperlink" Target="https://drive.google.com/drive/u/0/folders/1A2F6TLR7UJBlcaDHXikaP1hbAXgSdetv" TargetMode="External"/><Relationship Id="rId37" Type="http://schemas.openxmlformats.org/officeDocument/2006/relationships/hyperlink" Target="https://drive.google.com/drive/folders/1vs6E91cl6LcXLw8yY6jQ_Jn1mxzsDxBc?usp=drive_link" TargetMode="External"/><Relationship Id="rId14" Type="http://schemas.openxmlformats.org/officeDocument/2006/relationships/hyperlink" Target="https://drive.google.com/drive/u/0/folders/1A2F6TLR7UJBlcaDHXikaP1hbAXgSdetv" TargetMode="External"/><Relationship Id="rId36" Type="http://schemas.openxmlformats.org/officeDocument/2006/relationships/hyperlink" Target="https://drive.google.com/drive/folders/13Rikz2AJtOXIOJzt1sG8MGAUYkHkr3mr?usp=drive_link" TargetMode="External"/><Relationship Id="rId17" Type="http://schemas.openxmlformats.org/officeDocument/2006/relationships/hyperlink" Target="https://drive.google.com/drive/u/0/folders/1A2F6TLR7UJBlcaDHXikaP1hbAXgSdetv" TargetMode="External"/><Relationship Id="rId39" Type="http://schemas.openxmlformats.org/officeDocument/2006/relationships/hyperlink" Target="https://drive.google.com/drive/u/1/folders/1brOzvgm6dBZq8OXVNiwxpOofTEraF8no" TargetMode="External"/><Relationship Id="rId16" Type="http://schemas.openxmlformats.org/officeDocument/2006/relationships/hyperlink" Target="https://forms.gle/mevkNxo5b6tVE7Bw8" TargetMode="External"/><Relationship Id="rId38" Type="http://schemas.openxmlformats.org/officeDocument/2006/relationships/hyperlink" Target="https://drive.google.com/drive/u/1/folders/1brOzvgm6dBZq8OXVNiwxpOofTEraF8no" TargetMode="External"/><Relationship Id="rId19" Type="http://schemas.openxmlformats.org/officeDocument/2006/relationships/hyperlink" Target="https://drive.google.com/drive/folders/14qK-4liLDB9wPHSggaSLwWFHQAJjvOAC?usp=drive_link" TargetMode="External"/><Relationship Id="rId18" Type="http://schemas.openxmlformats.org/officeDocument/2006/relationships/hyperlink" Target="https://forms.gle/mevkNxo5b6tVE7Bw8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u/2/folders/10mZf0XSY6egfcaL3GVlAZutC3Yxmlya0" TargetMode="External"/><Relationship Id="rId42" Type="http://schemas.openxmlformats.org/officeDocument/2006/relationships/hyperlink" Target="https://drive.google.com/drive/u/2/folders/10mZf0XSY6egfcaL3GVlAZutC3Yxmlya0" TargetMode="External"/><Relationship Id="rId41" Type="http://schemas.openxmlformats.org/officeDocument/2006/relationships/hyperlink" Target="https://drive.google.com/drive/u/2/folders/10mZf0XSY6egfcaL3GVlAZutC3Yxmlya0" TargetMode="External"/><Relationship Id="rId44" Type="http://schemas.openxmlformats.org/officeDocument/2006/relationships/hyperlink" Target="https://drive.google.com/drive/u/2/folders/10mZf0XSY6egfcaL3GVlAZutC3Yxmlya0" TargetMode="External"/><Relationship Id="rId43" Type="http://schemas.openxmlformats.org/officeDocument/2006/relationships/hyperlink" Target="https://drive.google.com/drive/u/2/folders/10mZf0XSY6egfcaL3GVlAZutC3Yxmlya0" TargetMode="External"/><Relationship Id="rId46" Type="http://schemas.openxmlformats.org/officeDocument/2006/relationships/hyperlink" Target="https://drive.google.com/drive/u/2/folders/10mZf0XSY6egfcaL3GVlAZutC3Yxmlya0" TargetMode="External"/><Relationship Id="rId45" Type="http://schemas.openxmlformats.org/officeDocument/2006/relationships/hyperlink" Target="https://drive.google.com/drive/u/2/folders/10mZf0XSY6egfcaL3GVlAZutC3Yxmlya0" TargetMode="External"/><Relationship Id="rId107" Type="http://schemas.openxmlformats.org/officeDocument/2006/relationships/hyperlink" Target="https://drive.google.com/drive/folders/1vs6E91cl6LcXLw8yY6jQ_Jn1mxzsDxBc?usp=drive_link" TargetMode="External"/><Relationship Id="rId106" Type="http://schemas.openxmlformats.org/officeDocument/2006/relationships/hyperlink" Target="https://drive.google.com/drive/folders/1vs6E91cl6LcXLw8yY6jQ_Jn1mxzsDxBc?usp=drive_link" TargetMode="External"/><Relationship Id="rId105" Type="http://schemas.openxmlformats.org/officeDocument/2006/relationships/hyperlink" Target="https://drive.google.com/drive/folders/1vs6E91cl6LcXLw8yY6jQ_Jn1mxzsDxBc?usp=drive_link" TargetMode="External"/><Relationship Id="rId104" Type="http://schemas.openxmlformats.org/officeDocument/2006/relationships/hyperlink" Target="https://drive.google.com/drive/folders/1vs6E91cl6LcXLw8yY6jQ_Jn1mxzsDxBc?usp=drive_link" TargetMode="External"/><Relationship Id="rId109" Type="http://schemas.openxmlformats.org/officeDocument/2006/relationships/hyperlink" Target="https://drive.google.com/drive/folders/1vs6E91cl6LcXLw8yY6jQ_Jn1mxzsDxBc?usp=drive_link" TargetMode="External"/><Relationship Id="rId108" Type="http://schemas.openxmlformats.org/officeDocument/2006/relationships/hyperlink" Target="https://drive.google.com/drive/folders/1vs6E91cl6LcXLw8yY6jQ_Jn1mxzsDxBc?usp=drive_link" TargetMode="External"/><Relationship Id="rId48" Type="http://schemas.openxmlformats.org/officeDocument/2006/relationships/hyperlink" Target="https://drive.google.com/drive/u/2/folders/10mZf0XSY6egfcaL3GVlAZutC3Yxmlya0" TargetMode="External"/><Relationship Id="rId47" Type="http://schemas.openxmlformats.org/officeDocument/2006/relationships/hyperlink" Target="https://drive.google.com/drive/u/2/folders/10mZf0XSY6egfcaL3GVlAZutC3Yxmlya0" TargetMode="External"/><Relationship Id="rId49" Type="http://schemas.openxmlformats.org/officeDocument/2006/relationships/hyperlink" Target="https://drive.google.com/drive/u/2/folders/10mZf0XSY6egfcaL3GVlAZutC3Yxmlya0" TargetMode="External"/><Relationship Id="rId103" Type="http://schemas.openxmlformats.org/officeDocument/2006/relationships/hyperlink" Target="https://drive.google.com/drive/folders/1vs6E91cl6LcXLw8yY6jQ_Jn1mxzsDxBc?usp=drive_link" TargetMode="External"/><Relationship Id="rId102" Type="http://schemas.openxmlformats.org/officeDocument/2006/relationships/hyperlink" Target="https://docs.google.com/presentation/d/1POuNccDTPg1ORlj01QvVy_SNYOhne6Ms/edit?usp=drive_link&amp;ouid=112119804896574368959&amp;rtpof=true&amp;sd=true" TargetMode="External"/><Relationship Id="rId101" Type="http://schemas.openxmlformats.org/officeDocument/2006/relationships/hyperlink" Target="https://docs.google.com/presentation/d/1POuNccDTPg1ORlj01QvVy_SNYOhne6Ms/edit?usp=drive_link&amp;ouid=112119804896574368959&amp;rtpof=true&amp;sd=true" TargetMode="External"/><Relationship Id="rId100" Type="http://schemas.openxmlformats.org/officeDocument/2006/relationships/hyperlink" Target="https://docs.google.com/presentation/d/1POuNccDTPg1ORlj01QvVy_SNYOhne6Ms/edit?usp=drive_link&amp;ouid=112119804896574368959&amp;rtpof=true&amp;sd=true" TargetMode="External"/><Relationship Id="rId31" Type="http://schemas.openxmlformats.org/officeDocument/2006/relationships/hyperlink" Target="https://drive.google.com/drive/u/2/folders/10mZf0XSY6egfcaL3GVlAZutC3Yxmlya0" TargetMode="External"/><Relationship Id="rId30" Type="http://schemas.openxmlformats.org/officeDocument/2006/relationships/hyperlink" Target="https://drive.google.com/drive/u/2/folders/10mZf0XSY6egfcaL3GVlAZutC3Yxmlya0" TargetMode="External"/><Relationship Id="rId33" Type="http://schemas.openxmlformats.org/officeDocument/2006/relationships/hyperlink" Target="https://drive.google.com/drive/u/2/folders/10mZf0XSY6egfcaL3GVlAZutC3Yxmlya0" TargetMode="External"/><Relationship Id="rId32" Type="http://schemas.openxmlformats.org/officeDocument/2006/relationships/hyperlink" Target="https://drive.google.com/drive/u/2/folders/10mZf0XSY6egfcaL3GVlAZutC3Yxmlya0" TargetMode="External"/><Relationship Id="rId35" Type="http://schemas.openxmlformats.org/officeDocument/2006/relationships/hyperlink" Target="https://drive.google.com/drive/u/2/folders/10mZf0XSY6egfcaL3GVlAZutC3Yxmlya0" TargetMode="External"/><Relationship Id="rId34" Type="http://schemas.openxmlformats.org/officeDocument/2006/relationships/hyperlink" Target="https://drive.google.com/drive/u/2/folders/10mZf0XSY6egfcaL3GVlAZutC3Yxmlya0" TargetMode="External"/><Relationship Id="rId37" Type="http://schemas.openxmlformats.org/officeDocument/2006/relationships/hyperlink" Target="https://drive.google.com/drive/u/2/folders/10mZf0XSY6egfcaL3GVlAZutC3Yxmlya0" TargetMode="External"/><Relationship Id="rId36" Type="http://schemas.openxmlformats.org/officeDocument/2006/relationships/hyperlink" Target="https://drive.google.com/drive/u/2/folders/10mZf0XSY6egfcaL3GVlAZutC3Yxmlya0" TargetMode="External"/><Relationship Id="rId39" Type="http://schemas.openxmlformats.org/officeDocument/2006/relationships/hyperlink" Target="https://drive.google.com/drive/u/2/folders/10mZf0XSY6egfcaL3GVlAZutC3Yxmlya0" TargetMode="External"/><Relationship Id="rId38" Type="http://schemas.openxmlformats.org/officeDocument/2006/relationships/hyperlink" Target="https://drive.google.com/drive/u/2/folders/10mZf0XSY6egfcaL3GVlAZutC3Yxmlya0" TargetMode="External"/><Relationship Id="rId20" Type="http://schemas.openxmlformats.org/officeDocument/2006/relationships/hyperlink" Target="https://drive.google.com/drive/u/2/folders/1bsNEtWwkn85Bk-bWNzCWMlZPbd22zekC" TargetMode="External"/><Relationship Id="rId22" Type="http://schemas.openxmlformats.org/officeDocument/2006/relationships/hyperlink" Target="https://drive.google.com/drive/u/2/folders/1EuSbDn-kvjdex-Vsho4hV2hTxg_eKV-C" TargetMode="External"/><Relationship Id="rId21" Type="http://schemas.openxmlformats.org/officeDocument/2006/relationships/hyperlink" Target="https://drive.google.com/drive/u/2/folders/1bsNEtWwkn85Bk-bWNzCWMlZPbd22zekC" TargetMode="External"/><Relationship Id="rId24" Type="http://schemas.openxmlformats.org/officeDocument/2006/relationships/hyperlink" Target="https://drive.google.com/drive/u/2/folders/1EuSbDn-kvjdex-Vsho4hV2hTxg_eKV-C" TargetMode="External"/><Relationship Id="rId23" Type="http://schemas.openxmlformats.org/officeDocument/2006/relationships/hyperlink" Target="https://drive.google.com/drive/u/2/folders/1EuSbDn-kvjdex-Vsho4hV2hTxg_eKV-C" TargetMode="External"/><Relationship Id="rId26" Type="http://schemas.openxmlformats.org/officeDocument/2006/relationships/hyperlink" Target="https://drive.google.com/drive/u/0/folders/1Td1fGiV2CCUfaTX8ixniPdiRrFpj5k6D" TargetMode="External"/><Relationship Id="rId25" Type="http://schemas.openxmlformats.org/officeDocument/2006/relationships/hyperlink" Target="https://drive.google.com/drive/u/2/folders/1EuSbDn-kvjdex-Vsho4hV2hTxg_eKV-C" TargetMode="External"/><Relationship Id="rId28" Type="http://schemas.openxmlformats.org/officeDocument/2006/relationships/hyperlink" Target="https://drive.google.com/drive/u/0/folders/1Td1fGiV2CCUfaTX8ixniPdiRrFpj5k6D" TargetMode="External"/><Relationship Id="rId27" Type="http://schemas.openxmlformats.org/officeDocument/2006/relationships/hyperlink" Target="https://drive.google.com/drive/u/0/folders/1Td1fGiV2CCUfaTX8ixniPdiRrFpj5k6D" TargetMode="External"/><Relationship Id="rId29" Type="http://schemas.openxmlformats.org/officeDocument/2006/relationships/hyperlink" Target="https://drive.google.com/drive/u/0/folders/1Td1fGiV2CCUfaTX8ixniPdiRrFpj5k6D" TargetMode="External"/><Relationship Id="rId95" Type="http://schemas.openxmlformats.org/officeDocument/2006/relationships/hyperlink" Target="https://drive.google.com/drive/u/2/folders/10mZf0XSY6egfcaL3GVlAZutC3Yxmlya0" TargetMode="External"/><Relationship Id="rId94" Type="http://schemas.openxmlformats.org/officeDocument/2006/relationships/hyperlink" Target="https://drive.google.com/drive/u/2/folders/10mZf0XSY6egfcaL3GVlAZutC3Yxmlya0" TargetMode="External"/><Relationship Id="rId97" Type="http://schemas.openxmlformats.org/officeDocument/2006/relationships/hyperlink" Target="https://docs.google.com/presentation/d/1POuNccDTPg1ORlj01QvVy_SNYOhne6Ms/edit?usp=drive_link&amp;ouid=112119804896574368959&amp;rtpof=true&amp;sd=true" TargetMode="External"/><Relationship Id="rId96" Type="http://schemas.openxmlformats.org/officeDocument/2006/relationships/hyperlink" Target="https://docs.google.com/presentation/d/1POuNccDTPg1ORlj01QvVy_SNYOhne6Ms/edit?usp=drive_link&amp;ouid=112119804896574368959&amp;rtpof=true&amp;sd=true" TargetMode="External"/><Relationship Id="rId11" Type="http://schemas.openxmlformats.org/officeDocument/2006/relationships/hyperlink" Target="https://drive.google.com/drive/u/2/folders/1bsNEtWwkn85Bk-bWNzCWMlZPbd22zekC" TargetMode="External"/><Relationship Id="rId99" Type="http://schemas.openxmlformats.org/officeDocument/2006/relationships/hyperlink" Target="https://docs.google.com/presentation/d/1POuNccDTPg1ORlj01QvVy_SNYOhne6Ms/edit?usp=drive_link&amp;ouid=112119804896574368959&amp;rtpof=true&amp;sd=true" TargetMode="External"/><Relationship Id="rId10" Type="http://schemas.openxmlformats.org/officeDocument/2006/relationships/hyperlink" Target="https://forms.gle/4ijbS1U2GMBy87ZD9" TargetMode="External"/><Relationship Id="rId98" Type="http://schemas.openxmlformats.org/officeDocument/2006/relationships/hyperlink" Target="https://docs.google.com/presentation/d/1POuNccDTPg1ORlj01QvVy_SNYOhne6Ms/edit?usp=drive_link&amp;ouid=112119804896574368959&amp;rtpof=true&amp;sd=true" TargetMode="External"/><Relationship Id="rId13" Type="http://schemas.openxmlformats.org/officeDocument/2006/relationships/hyperlink" Target="https://drive.google.com/drive/folders/13Rikz2AJtOXIOJzt1sG8MGAUYkHkr3mr?usp=drive_link" TargetMode="External"/><Relationship Id="rId12" Type="http://schemas.openxmlformats.org/officeDocument/2006/relationships/hyperlink" Target="https://drive.google.com/drive/folders/13Rikz2AJtOXIOJzt1sG8MGAUYkHkr3mr?usp=drive_link" TargetMode="External"/><Relationship Id="rId91" Type="http://schemas.openxmlformats.org/officeDocument/2006/relationships/hyperlink" Target="https://drive.google.com/drive/u/2/folders/10mZf0XSY6egfcaL3GVlAZutC3Yxmlya0" TargetMode="External"/><Relationship Id="rId90" Type="http://schemas.openxmlformats.org/officeDocument/2006/relationships/hyperlink" Target="https://drive.google.com/drive/u/2/folders/10mZf0XSY6egfcaL3GVlAZutC3Yxmlya0" TargetMode="External"/><Relationship Id="rId93" Type="http://schemas.openxmlformats.org/officeDocument/2006/relationships/hyperlink" Target="https://drive.google.com/drive/u/2/folders/10mZf0XSY6egfcaL3GVlAZutC3Yxmlya0" TargetMode="External"/><Relationship Id="rId92" Type="http://schemas.openxmlformats.org/officeDocument/2006/relationships/hyperlink" Target="https://drive.google.com/drive/u/2/folders/10mZf0XSY6egfcaL3GVlAZutC3Yxmlya0" TargetMode="External"/><Relationship Id="rId118" Type="http://schemas.openxmlformats.org/officeDocument/2006/relationships/drawing" Target="../drawings/drawing2.xml"/><Relationship Id="rId117" Type="http://schemas.openxmlformats.org/officeDocument/2006/relationships/hyperlink" Target="https://docs.google.com/document/d/196XkDmBKi-FMoAEyyqEjvVbvJTER5hMR/edit" TargetMode="External"/><Relationship Id="rId116" Type="http://schemas.openxmlformats.org/officeDocument/2006/relationships/hyperlink" Target="https://drive.google.com/drive/u/1/folders/1brOzvgm6dBZq8OXVNiwxpOofTEraF8no" TargetMode="External"/><Relationship Id="rId115" Type="http://schemas.openxmlformats.org/officeDocument/2006/relationships/hyperlink" Target="https://drive.google.com/drive/u/1/folders/1brOzvgm6dBZq8OXVNiwxpOofTEraF8no" TargetMode="External"/><Relationship Id="rId15" Type="http://schemas.openxmlformats.org/officeDocument/2006/relationships/hyperlink" Target="https://drive.google.com/drive/u/1/folders/1YJKs6nlr1vlISodCUA1m3dx2MpJjtEOQ" TargetMode="External"/><Relationship Id="rId110" Type="http://schemas.openxmlformats.org/officeDocument/2006/relationships/hyperlink" Target="https://drive.google.com/drive/u/1/folders/1brOzvgm6dBZq8OXVNiwxpOofTEraF8no" TargetMode="External"/><Relationship Id="rId14" Type="http://schemas.openxmlformats.org/officeDocument/2006/relationships/hyperlink" Target="https://drive.google.com/drive/u/1/folders/1YJKs6nlr1vlISodCUA1m3dx2MpJjtEOQ" TargetMode="External"/><Relationship Id="rId17" Type="http://schemas.openxmlformats.org/officeDocument/2006/relationships/hyperlink" Target="https://drive.google.com/drive/u/1/folders/1YJKs6nlr1vlISodCUA1m3dx2MpJjtEOQ" TargetMode="External"/><Relationship Id="rId16" Type="http://schemas.openxmlformats.org/officeDocument/2006/relationships/hyperlink" Target="https://drive.google.com/drive/u/1/folders/1YJKs6nlr1vlISodCUA1m3dx2MpJjtEOQ" TargetMode="External"/><Relationship Id="rId19" Type="http://schemas.openxmlformats.org/officeDocument/2006/relationships/hyperlink" Target="https://drive.google.com/drive/u/2/folders/1bsNEtWwkn85Bk-bWNzCWMlZPbd22zekC" TargetMode="External"/><Relationship Id="rId114" Type="http://schemas.openxmlformats.org/officeDocument/2006/relationships/hyperlink" Target="https://drive.google.com/drive/u/1/folders/1brOzvgm6dBZq8OXVNiwxpOofTEraF8no" TargetMode="External"/><Relationship Id="rId18" Type="http://schemas.openxmlformats.org/officeDocument/2006/relationships/hyperlink" Target="https://drive.google.com/drive/u/2/folders/1bsNEtWwkn85Bk-bWNzCWMlZPbd22zekC" TargetMode="External"/><Relationship Id="rId113" Type="http://schemas.openxmlformats.org/officeDocument/2006/relationships/hyperlink" Target="https://drive.google.com/drive/u/1/folders/1brOzvgm6dBZq8OXVNiwxpOofTEraF8no" TargetMode="External"/><Relationship Id="rId112" Type="http://schemas.openxmlformats.org/officeDocument/2006/relationships/hyperlink" Target="https://drive.google.com/drive/u/1/folders/1brOzvgm6dBZq8OXVNiwxpOofTEraF8no" TargetMode="External"/><Relationship Id="rId111" Type="http://schemas.openxmlformats.org/officeDocument/2006/relationships/hyperlink" Target="https://drive.google.com/drive/u/1/folders/1brOzvgm6dBZq8OXVNiwxpOofTEraF8no" TargetMode="External"/><Relationship Id="rId84" Type="http://schemas.openxmlformats.org/officeDocument/2006/relationships/hyperlink" Target="https://drive.google.com/drive/u/2/folders/1bsNEtWwkn85Bk-bWNzCWMlZPbd22zekC" TargetMode="External"/><Relationship Id="rId83" Type="http://schemas.openxmlformats.org/officeDocument/2006/relationships/hyperlink" Target="https://drive.google.com/drive/u/2/folders/1bsNEtWwkn85Bk-bWNzCWMlZPbd22zekC" TargetMode="External"/><Relationship Id="rId86" Type="http://schemas.openxmlformats.org/officeDocument/2006/relationships/hyperlink" Target="https://drive.google.com/drive/u/2/folders/1bsNEtWwkn85Bk-bWNzCWMlZPbd22zekC" TargetMode="External"/><Relationship Id="rId85" Type="http://schemas.openxmlformats.org/officeDocument/2006/relationships/hyperlink" Target="https://drive.google.com/drive/u/2/folders/1bsNEtWwkn85Bk-bWNzCWMlZPbd22zekC" TargetMode="External"/><Relationship Id="rId88" Type="http://schemas.openxmlformats.org/officeDocument/2006/relationships/hyperlink" Target="https://drive.google.com/drive/u/2/folders/1bsNEtWwkn85Bk-bWNzCWMlZPbd22zekC" TargetMode="External"/><Relationship Id="rId87" Type="http://schemas.openxmlformats.org/officeDocument/2006/relationships/hyperlink" Target="https://drive.google.com/drive/u/2/folders/1bsNEtWwkn85Bk-bWNzCWMlZPbd22zekC" TargetMode="External"/><Relationship Id="rId89" Type="http://schemas.openxmlformats.org/officeDocument/2006/relationships/hyperlink" Target="https://drive.google.com/drive/u/2/folders/10mZf0XSY6egfcaL3GVlAZutC3Yxmlya0" TargetMode="External"/><Relationship Id="rId80" Type="http://schemas.openxmlformats.org/officeDocument/2006/relationships/hyperlink" Target="https://drive.google.com/drive/u/0/folders/1HGFPCEiqq_Rnp4OqK3u8NrQbcwy3kLSZ" TargetMode="External"/><Relationship Id="rId82" Type="http://schemas.openxmlformats.org/officeDocument/2006/relationships/hyperlink" Target="https://drive.google.com/drive/u/2/folders/1bsNEtWwkn85Bk-bWNzCWMlZPbd22zekC" TargetMode="External"/><Relationship Id="rId81" Type="http://schemas.openxmlformats.org/officeDocument/2006/relationships/hyperlink" Target="https://drive.google.com/drive/u/0/folders/1HGFPCEiqq_Rnp4OqK3u8NrQbcwy3kLSZ" TargetMode="External"/><Relationship Id="rId1" Type="http://schemas.openxmlformats.org/officeDocument/2006/relationships/hyperlink" Target="https://forms.gle/f3QRKygfrKtrQiFG9" TargetMode="External"/><Relationship Id="rId2" Type="http://schemas.openxmlformats.org/officeDocument/2006/relationships/hyperlink" Target="https://forms.gle/BabTQRx7QQzSLsiS8" TargetMode="External"/><Relationship Id="rId3" Type="http://schemas.openxmlformats.org/officeDocument/2006/relationships/hyperlink" Target="https://forms.gle/NERgUvcBqoT7j1Bw8" TargetMode="External"/><Relationship Id="rId4" Type="http://schemas.openxmlformats.org/officeDocument/2006/relationships/hyperlink" Target="https://forms.gle/iU9TB3rw6X6Lfoki9" TargetMode="External"/><Relationship Id="rId9" Type="http://schemas.openxmlformats.org/officeDocument/2006/relationships/hyperlink" Target="https://drive.google.com/drive/folders/1Byrhq3KaDxzKvfXDrm9q06fIo1_6Uw7c" TargetMode="External"/><Relationship Id="rId5" Type="http://schemas.openxmlformats.org/officeDocument/2006/relationships/hyperlink" Target="https://forms.gle/GS1yZZNbnRvBrneX6" TargetMode="External"/><Relationship Id="rId6" Type="http://schemas.openxmlformats.org/officeDocument/2006/relationships/hyperlink" Target="https://forms.gle/wArTThjuhuhNW2MU6" TargetMode="External"/><Relationship Id="rId7" Type="http://schemas.openxmlformats.org/officeDocument/2006/relationships/hyperlink" Target="https://drive.google.com/drive/u/2/folders/10mZf0XSY6egfcaL3GVlAZutC3Yxmlya0" TargetMode="External"/><Relationship Id="rId8" Type="http://schemas.openxmlformats.org/officeDocument/2006/relationships/hyperlink" Target="https://forms.gle/1urJUFg1ZDrK9Fag6" TargetMode="External"/><Relationship Id="rId73" Type="http://schemas.openxmlformats.org/officeDocument/2006/relationships/hyperlink" Target="https://drive.google.com/drive/u/2/folders/12lOrF5fZ7k3rT8TQui5iTTGRQi4iK30U" TargetMode="External"/><Relationship Id="rId72" Type="http://schemas.openxmlformats.org/officeDocument/2006/relationships/hyperlink" Target="https://drive.google.com/drive/u/2/folders/12lOrF5fZ7k3rT8TQui5iTTGRQi4iK30U" TargetMode="External"/><Relationship Id="rId75" Type="http://schemas.openxmlformats.org/officeDocument/2006/relationships/hyperlink" Target="https://drive.google.com/drive/folders/1Td1fGiV2CCUfaTX8ixniPdiRrFpj5k6D?usp=drive_link" TargetMode="External"/><Relationship Id="rId74" Type="http://schemas.openxmlformats.org/officeDocument/2006/relationships/hyperlink" Target="https://drive.google.com/drive/folders/1Td1fGiV2CCUfaTX8ixniPdiRrFpj5k6D?usp=drive_link" TargetMode="External"/><Relationship Id="rId77" Type="http://schemas.openxmlformats.org/officeDocument/2006/relationships/hyperlink" Target="https://drive.google.com/drive/folders/1Td1fGiV2CCUfaTX8ixniPdiRrFpj5k6D?usp=drive_link" TargetMode="External"/><Relationship Id="rId76" Type="http://schemas.openxmlformats.org/officeDocument/2006/relationships/hyperlink" Target="https://drive.google.com/drive/folders/1Td1fGiV2CCUfaTX8ixniPdiRrFpj5k6D?usp=drive_link" TargetMode="External"/><Relationship Id="rId79" Type="http://schemas.openxmlformats.org/officeDocument/2006/relationships/hyperlink" Target="https://drive.google.com/drive/u/0/folders/1HGFPCEiqq_Rnp4OqK3u8NrQbcwy3kLSZ" TargetMode="External"/><Relationship Id="rId78" Type="http://schemas.openxmlformats.org/officeDocument/2006/relationships/hyperlink" Target="https://drive.google.com/drive/u/0/folders/1HGFPCEiqq_Rnp4OqK3u8NrQbcwy3kLSZ" TargetMode="External"/><Relationship Id="rId71" Type="http://schemas.openxmlformats.org/officeDocument/2006/relationships/hyperlink" Target="https://drive.google.com/drive/u/2/folders/12lOrF5fZ7k3rT8TQui5iTTGRQi4iK30U" TargetMode="External"/><Relationship Id="rId70" Type="http://schemas.openxmlformats.org/officeDocument/2006/relationships/hyperlink" Target="https://drive.google.com/drive/u/2/folders/12lOrF5fZ7k3rT8TQui5iTTGRQi4iK30U" TargetMode="External"/><Relationship Id="rId62" Type="http://schemas.openxmlformats.org/officeDocument/2006/relationships/hyperlink" Target="https://drive.google.com/drive/u/2/folders/10mZf0XSY6egfcaL3GVlAZutC3Yxmlya0" TargetMode="External"/><Relationship Id="rId61" Type="http://schemas.openxmlformats.org/officeDocument/2006/relationships/hyperlink" Target="https://drive.google.com/drive/u/2/folders/10mZf0XSY6egfcaL3GVlAZutC3Yxmlya0" TargetMode="External"/><Relationship Id="rId64" Type="http://schemas.openxmlformats.org/officeDocument/2006/relationships/hyperlink" Target="https://drive.google.com/drive/u/2/folders/10mZf0XSY6egfcaL3GVlAZutC3Yxmlya0" TargetMode="External"/><Relationship Id="rId63" Type="http://schemas.openxmlformats.org/officeDocument/2006/relationships/hyperlink" Target="https://drive.google.com/drive/u/2/folders/10mZf0XSY6egfcaL3GVlAZutC3Yxmlya0" TargetMode="External"/><Relationship Id="rId66" Type="http://schemas.openxmlformats.org/officeDocument/2006/relationships/hyperlink" Target="https://drive.google.com/drive/u/2/folders/10mZf0XSY6egfcaL3GVlAZutC3Yxmlya0" TargetMode="External"/><Relationship Id="rId65" Type="http://schemas.openxmlformats.org/officeDocument/2006/relationships/hyperlink" Target="https://drive.google.com/drive/u/2/folders/10mZf0XSY6egfcaL3GVlAZutC3Yxmlya0" TargetMode="External"/><Relationship Id="rId68" Type="http://schemas.openxmlformats.org/officeDocument/2006/relationships/hyperlink" Target="https://drive.google.com/drive/u/2/folders/10mZf0XSY6egfcaL3GVlAZutC3Yxmlya0" TargetMode="External"/><Relationship Id="rId67" Type="http://schemas.openxmlformats.org/officeDocument/2006/relationships/hyperlink" Target="https://drive.google.com/drive/u/2/folders/10mZf0XSY6egfcaL3GVlAZutC3Yxmlya0" TargetMode="External"/><Relationship Id="rId60" Type="http://schemas.openxmlformats.org/officeDocument/2006/relationships/hyperlink" Target="https://drive.google.com/drive/u/2/folders/10mZf0XSY6egfcaL3GVlAZutC3Yxmlya0" TargetMode="External"/><Relationship Id="rId69" Type="http://schemas.openxmlformats.org/officeDocument/2006/relationships/hyperlink" Target="https://drive.google.com/drive/u/2/folders/10mZf0XSY6egfcaL3GVlAZutC3Yxmlya0" TargetMode="External"/><Relationship Id="rId51" Type="http://schemas.openxmlformats.org/officeDocument/2006/relationships/hyperlink" Target="https://drive.google.com/drive/u/2/folders/10mZf0XSY6egfcaL3GVlAZutC3Yxmlya0" TargetMode="External"/><Relationship Id="rId50" Type="http://schemas.openxmlformats.org/officeDocument/2006/relationships/hyperlink" Target="https://drive.google.com/drive/u/2/folders/10mZf0XSY6egfcaL3GVlAZutC3Yxmlya0" TargetMode="External"/><Relationship Id="rId53" Type="http://schemas.openxmlformats.org/officeDocument/2006/relationships/hyperlink" Target="https://drive.google.com/drive/u/2/folders/10mZf0XSY6egfcaL3GVlAZutC3Yxmlya0" TargetMode="External"/><Relationship Id="rId52" Type="http://schemas.openxmlformats.org/officeDocument/2006/relationships/hyperlink" Target="https://drive.google.com/drive/u/2/folders/10mZf0XSY6egfcaL3GVlAZutC3Yxmlya0" TargetMode="External"/><Relationship Id="rId55" Type="http://schemas.openxmlformats.org/officeDocument/2006/relationships/hyperlink" Target="https://drive.google.com/drive/u/2/folders/10mZf0XSY6egfcaL3GVlAZutC3Yxmlya0" TargetMode="External"/><Relationship Id="rId54" Type="http://schemas.openxmlformats.org/officeDocument/2006/relationships/hyperlink" Target="https://drive.google.com/drive/u/2/folders/10mZf0XSY6egfcaL3GVlAZutC3Yxmlya0" TargetMode="External"/><Relationship Id="rId57" Type="http://schemas.openxmlformats.org/officeDocument/2006/relationships/hyperlink" Target="https://drive.google.com/drive/u/2/folders/10mZf0XSY6egfcaL3GVlAZutC3Yxmlya0" TargetMode="External"/><Relationship Id="rId56" Type="http://schemas.openxmlformats.org/officeDocument/2006/relationships/hyperlink" Target="https://drive.google.com/drive/u/2/folders/10mZf0XSY6egfcaL3GVlAZutC3Yxmlya0" TargetMode="External"/><Relationship Id="rId59" Type="http://schemas.openxmlformats.org/officeDocument/2006/relationships/hyperlink" Target="https://drive.google.com/drive/u/2/folders/10mZf0XSY6egfcaL3GVlAZutC3Yxmlya0" TargetMode="External"/><Relationship Id="rId58" Type="http://schemas.openxmlformats.org/officeDocument/2006/relationships/hyperlink" Target="https://drive.google.com/drive/u/2/folders/10mZf0XSY6egfcaL3GVlAZutC3Yxmly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59.13"/>
    <col customWidth="1" min="6" max="6" width="44.88"/>
    <col customWidth="1" min="7" max="7" width="32.13"/>
    <col customWidth="1" min="9" max="9" width="25.63"/>
  </cols>
  <sheetData>
    <row r="1" ht="26.25" customHeight="1">
      <c r="A1" s="1" t="s">
        <v>0</v>
      </c>
      <c r="B1" s="2"/>
      <c r="C1" s="2"/>
      <c r="D1" s="3" t="s">
        <v>1</v>
      </c>
      <c r="E1" s="4"/>
      <c r="F1" s="5" t="s">
        <v>2</v>
      </c>
      <c r="G1" s="6"/>
      <c r="H1" s="7" t="s">
        <v>3</v>
      </c>
      <c r="I1" s="8">
        <f>J8</f>
        <v>100</v>
      </c>
      <c r="J1" s="9" t="str">
        <f>I1+I2+I3+I4/4</f>
        <v>#REF!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6.25" customHeight="1">
      <c r="A2" s="1" t="s">
        <v>4</v>
      </c>
      <c r="B2" s="2"/>
      <c r="C2" s="2"/>
      <c r="D2" s="3" t="s">
        <v>5</v>
      </c>
      <c r="E2" s="4"/>
      <c r="F2" s="11"/>
      <c r="H2" s="7" t="s">
        <v>6</v>
      </c>
      <c r="I2" s="8" t="str">
        <f>J24</f>
        <v>#REF!</v>
      </c>
      <c r="J2" s="12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6.25" customHeight="1">
      <c r="A3" s="1" t="s">
        <v>7</v>
      </c>
      <c r="B3" s="2"/>
      <c r="C3" s="2"/>
      <c r="D3" s="3" t="s">
        <v>8</v>
      </c>
      <c r="E3" s="4"/>
      <c r="F3" s="11"/>
      <c r="H3" s="7" t="s">
        <v>9</v>
      </c>
      <c r="I3" s="8" t="str">
        <f>#REF!</f>
        <v>#REF!</v>
      </c>
      <c r="J3" s="12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6.25" customHeight="1">
      <c r="A4" s="1" t="s">
        <v>10</v>
      </c>
      <c r="B4" s="2"/>
      <c r="C4" s="2"/>
      <c r="D4" s="13" t="s">
        <v>11</v>
      </c>
      <c r="E4" s="4"/>
      <c r="F4" s="11"/>
      <c r="H4" s="7" t="s">
        <v>12</v>
      </c>
      <c r="I4" s="8" t="str">
        <f>J77</f>
        <v/>
      </c>
      <c r="J4" s="1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6.25" customHeight="1">
      <c r="A5" s="1" t="s">
        <v>13</v>
      </c>
      <c r="B5" s="2"/>
      <c r="C5" s="2"/>
      <c r="D5" s="14" t="s">
        <v>14</v>
      </c>
      <c r="F5" s="15"/>
      <c r="G5" s="16"/>
      <c r="H5" s="17" t="s">
        <v>15</v>
      </c>
      <c r="I5" s="4"/>
      <c r="J5" s="1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9" t="s">
        <v>16</v>
      </c>
      <c r="B6" s="20"/>
      <c r="C6" s="20"/>
      <c r="D6" s="20"/>
      <c r="E6" s="20"/>
      <c r="F6" s="20"/>
      <c r="G6" s="20"/>
      <c r="H6" s="20"/>
      <c r="I6" s="20"/>
      <c r="J6" s="2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22" t="s">
        <v>17</v>
      </c>
      <c r="B7" s="22" t="s">
        <v>18</v>
      </c>
      <c r="C7" s="22" t="s">
        <v>19</v>
      </c>
      <c r="D7" s="22" t="s">
        <v>20</v>
      </c>
      <c r="E7" s="22" t="s">
        <v>21</v>
      </c>
      <c r="F7" s="23" t="s">
        <v>22</v>
      </c>
      <c r="G7" s="22" t="s">
        <v>23</v>
      </c>
      <c r="H7" s="22" t="s">
        <v>24</v>
      </c>
      <c r="I7" s="24" t="s">
        <v>25</v>
      </c>
      <c r="J7" s="22" t="s">
        <v>26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25" t="s">
        <v>27</v>
      </c>
      <c r="B8" s="26" t="s">
        <v>28</v>
      </c>
      <c r="C8" s="2"/>
      <c r="D8" s="2"/>
      <c r="E8" s="2"/>
      <c r="F8" s="2"/>
      <c r="G8" s="4"/>
      <c r="H8" s="27">
        <f>SUM(H9:H13)</f>
        <v>24</v>
      </c>
      <c r="I8" s="28"/>
      <c r="J8" s="29">
        <f>SUM(C9,C15,C18,C21)/4</f>
        <v>100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30">
        <v>1.0</v>
      </c>
      <c r="C9" s="31">
        <f t="shared" ref="C9:D9" si="1">5/5*100</f>
        <v>100</v>
      </c>
      <c r="D9" s="31">
        <f t="shared" si="1"/>
        <v>100</v>
      </c>
      <c r="E9" s="32" t="s">
        <v>29</v>
      </c>
      <c r="F9" s="33" t="s">
        <v>30</v>
      </c>
      <c r="G9" s="34">
        <v>45874.0</v>
      </c>
      <c r="H9" s="35">
        <v>4.0</v>
      </c>
      <c r="I9" s="36">
        <v>45874.0</v>
      </c>
      <c r="J9" s="12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/>
      <c r="B10" s="30">
        <v>2.0</v>
      </c>
      <c r="C10" s="12"/>
      <c r="D10" s="12"/>
      <c r="E10" s="32" t="s">
        <v>31</v>
      </c>
      <c r="F10" s="33" t="s">
        <v>32</v>
      </c>
      <c r="G10" s="34">
        <v>45874.0</v>
      </c>
      <c r="H10" s="35">
        <v>1.0</v>
      </c>
      <c r="I10" s="36">
        <v>45874.0</v>
      </c>
      <c r="J10" s="12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/>
      <c r="B11" s="37">
        <v>3.0</v>
      </c>
      <c r="C11" s="12"/>
      <c r="D11" s="12"/>
      <c r="E11" s="32" t="s">
        <v>33</v>
      </c>
      <c r="F11" s="33" t="s">
        <v>34</v>
      </c>
      <c r="G11" s="34">
        <v>45875.0</v>
      </c>
      <c r="H11" s="35">
        <v>1.0</v>
      </c>
      <c r="I11" s="38">
        <v>45877.0</v>
      </c>
      <c r="J11" s="12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/>
      <c r="B12" s="30">
        <v>4.0</v>
      </c>
      <c r="C12" s="12"/>
      <c r="D12" s="12"/>
      <c r="E12" s="32" t="s">
        <v>35</v>
      </c>
      <c r="F12" s="39" t="s">
        <v>36</v>
      </c>
      <c r="G12" s="34">
        <v>45877.0</v>
      </c>
      <c r="H12" s="35">
        <v>4.0</v>
      </c>
      <c r="I12" s="36">
        <v>45877.0</v>
      </c>
      <c r="J12" s="12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/>
      <c r="B13" s="30">
        <v>5.0</v>
      </c>
      <c r="C13" s="18"/>
      <c r="D13" s="18"/>
      <c r="E13" s="32" t="s">
        <v>37</v>
      </c>
      <c r="F13" s="32" t="s">
        <v>38</v>
      </c>
      <c r="G13" s="34">
        <v>45877.0</v>
      </c>
      <c r="H13" s="35">
        <v>14.0</v>
      </c>
      <c r="I13" s="36">
        <v>45877.0</v>
      </c>
      <c r="J13" s="12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2"/>
      <c r="B14" s="26" t="s">
        <v>39</v>
      </c>
      <c r="C14" s="2"/>
      <c r="D14" s="2"/>
      <c r="E14" s="2"/>
      <c r="F14" s="2"/>
      <c r="G14" s="4"/>
      <c r="H14" s="40">
        <f>SUM(H15:H16)</f>
        <v>24</v>
      </c>
      <c r="I14" s="41"/>
      <c r="J14" s="12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2"/>
      <c r="B15" s="30">
        <v>6.0</v>
      </c>
      <c r="C15" s="42">
        <f>2/2*100</f>
        <v>100</v>
      </c>
      <c r="D15" s="42">
        <f>7/7*100</f>
        <v>100</v>
      </c>
      <c r="E15" s="32" t="s">
        <v>40</v>
      </c>
      <c r="F15" s="39" t="s">
        <v>41</v>
      </c>
      <c r="G15" s="34">
        <v>45880.0</v>
      </c>
      <c r="H15" s="43">
        <v>10.0</v>
      </c>
      <c r="I15" s="36">
        <v>45880.0</v>
      </c>
      <c r="J15" s="12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2"/>
      <c r="B16" s="30">
        <v>7.0</v>
      </c>
      <c r="C16" s="18"/>
      <c r="D16" s="18"/>
      <c r="E16" s="32" t="s">
        <v>37</v>
      </c>
      <c r="F16" s="32" t="s">
        <v>38</v>
      </c>
      <c r="G16" s="34">
        <v>45884.0</v>
      </c>
      <c r="H16" s="43">
        <v>14.0</v>
      </c>
      <c r="I16" s="36">
        <v>45884.0</v>
      </c>
      <c r="J16" s="12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2"/>
      <c r="B17" s="26" t="s">
        <v>42</v>
      </c>
      <c r="C17" s="2"/>
      <c r="D17" s="2"/>
      <c r="E17" s="2"/>
      <c r="F17" s="2"/>
      <c r="G17" s="4"/>
      <c r="H17" s="44">
        <f>SUM(H18:H19)</f>
        <v>24</v>
      </c>
      <c r="I17" s="28"/>
      <c r="J17" s="12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2"/>
      <c r="B18" s="30">
        <v>8.0</v>
      </c>
      <c r="C18" s="42">
        <f>2/2*100</f>
        <v>100</v>
      </c>
      <c r="D18" s="42">
        <f>9/9*100</f>
        <v>100</v>
      </c>
      <c r="E18" s="32" t="s">
        <v>43</v>
      </c>
      <c r="F18" s="39" t="s">
        <v>44</v>
      </c>
      <c r="G18" s="34">
        <v>45890.0</v>
      </c>
      <c r="H18" s="45">
        <v>4.0</v>
      </c>
      <c r="I18" s="36">
        <v>45890.0</v>
      </c>
      <c r="J18" s="12"/>
      <c r="K18" s="10"/>
      <c r="L18" s="10"/>
      <c r="M18" s="10"/>
      <c r="N18" s="4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2"/>
      <c r="B19" s="30">
        <v>9.0</v>
      </c>
      <c r="C19" s="18"/>
      <c r="D19" s="18"/>
      <c r="E19" s="32" t="s">
        <v>37</v>
      </c>
      <c r="F19" s="32" t="s">
        <v>38</v>
      </c>
      <c r="G19" s="34">
        <v>45891.0</v>
      </c>
      <c r="H19" s="45">
        <v>20.0</v>
      </c>
      <c r="I19" s="36">
        <v>45891.0</v>
      </c>
      <c r="J19" s="12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2"/>
      <c r="B20" s="26" t="s">
        <v>45</v>
      </c>
      <c r="C20" s="2"/>
      <c r="D20" s="2"/>
      <c r="E20" s="2"/>
      <c r="F20" s="2"/>
      <c r="G20" s="4"/>
      <c r="H20" s="47">
        <f>SUM(H21:H23)</f>
        <v>24</v>
      </c>
      <c r="I20" s="28"/>
      <c r="J20" s="12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2"/>
      <c r="B21" s="30">
        <v>10.0</v>
      </c>
      <c r="C21" s="48">
        <f>3/3*100</f>
        <v>100</v>
      </c>
      <c r="D21" s="42">
        <f>12/12*100</f>
        <v>100</v>
      </c>
      <c r="E21" s="32" t="s">
        <v>46</v>
      </c>
      <c r="F21" s="32" t="s">
        <v>38</v>
      </c>
      <c r="G21" s="34">
        <v>45895.0</v>
      </c>
      <c r="H21" s="49">
        <v>14.0</v>
      </c>
      <c r="I21" s="36">
        <v>45895.0</v>
      </c>
      <c r="J21" s="12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2"/>
      <c r="B22" s="50">
        <v>11.0</v>
      </c>
      <c r="C22" s="12"/>
      <c r="D22" s="12"/>
      <c r="E22" s="32" t="s">
        <v>47</v>
      </c>
      <c r="F22" s="33" t="s">
        <v>48</v>
      </c>
      <c r="G22" s="34">
        <v>45895.0</v>
      </c>
      <c r="H22" s="49">
        <v>4.0</v>
      </c>
      <c r="I22" s="51">
        <v>45884.0</v>
      </c>
      <c r="J22" s="12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8"/>
      <c r="B23" s="30">
        <v>12.0</v>
      </c>
      <c r="C23" s="18"/>
      <c r="D23" s="18"/>
      <c r="E23" s="32" t="s">
        <v>49</v>
      </c>
      <c r="F23" s="52" t="s">
        <v>50</v>
      </c>
      <c r="G23" s="34">
        <v>45898.0</v>
      </c>
      <c r="H23" s="49">
        <v>6.0</v>
      </c>
      <c r="I23" s="36">
        <v>45898.0</v>
      </c>
      <c r="J23" s="18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53" t="s">
        <v>51</v>
      </c>
      <c r="B24" s="26" t="s">
        <v>52</v>
      </c>
      <c r="C24" s="2"/>
      <c r="D24" s="2"/>
      <c r="E24" s="2"/>
      <c r="F24" s="2"/>
      <c r="G24" s="4"/>
      <c r="H24" s="54">
        <f>SUM(H25:H28)</f>
        <v>24</v>
      </c>
      <c r="I24" s="28"/>
      <c r="J24" s="29" t="str">
        <f>SUM(C25,C30,C34,#REF!)/4</f>
        <v>#REF!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2"/>
      <c r="B25" s="37">
        <v>13.0</v>
      </c>
      <c r="C25" s="31">
        <f>4/4*100</f>
        <v>100</v>
      </c>
      <c r="D25" s="31">
        <f>16/16*100</f>
        <v>100</v>
      </c>
      <c r="E25" s="7" t="s">
        <v>53</v>
      </c>
      <c r="F25" s="33" t="s">
        <v>54</v>
      </c>
      <c r="G25" s="34">
        <v>45902.0</v>
      </c>
      <c r="H25" s="55">
        <v>5.0</v>
      </c>
      <c r="I25" s="38">
        <v>45908.0</v>
      </c>
      <c r="J25" s="12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2"/>
      <c r="B26" s="50">
        <v>14.0</v>
      </c>
      <c r="C26" s="12"/>
      <c r="D26" s="12"/>
      <c r="E26" s="32" t="s">
        <v>55</v>
      </c>
      <c r="F26" s="33" t="s">
        <v>56</v>
      </c>
      <c r="G26" s="34">
        <v>45903.0</v>
      </c>
      <c r="H26" s="55">
        <v>4.0</v>
      </c>
      <c r="I26" s="51">
        <v>45902.0</v>
      </c>
      <c r="J26" s="12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2"/>
      <c r="B27" s="50">
        <v>15.0</v>
      </c>
      <c r="C27" s="12"/>
      <c r="D27" s="12"/>
      <c r="E27" s="56" t="s">
        <v>57</v>
      </c>
      <c r="F27" s="39" t="s">
        <v>58</v>
      </c>
      <c r="G27" s="34">
        <v>45905.0</v>
      </c>
      <c r="H27" s="55">
        <v>9.0</v>
      </c>
      <c r="I27" s="51">
        <v>45902.0</v>
      </c>
      <c r="J27" s="12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2"/>
      <c r="B28" s="30">
        <v>16.0</v>
      </c>
      <c r="C28" s="18"/>
      <c r="D28" s="18"/>
      <c r="E28" s="32" t="s">
        <v>59</v>
      </c>
      <c r="F28" s="32" t="s">
        <v>60</v>
      </c>
      <c r="G28" s="57">
        <v>45906.0</v>
      </c>
      <c r="H28" s="55">
        <v>6.0</v>
      </c>
      <c r="I28" s="36">
        <v>45906.0</v>
      </c>
      <c r="J28" s="12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2"/>
      <c r="B29" s="58" t="s">
        <v>61</v>
      </c>
      <c r="C29" s="2"/>
      <c r="D29" s="2"/>
      <c r="E29" s="2"/>
      <c r="F29" s="2"/>
      <c r="G29" s="4"/>
      <c r="H29" s="59">
        <f>SUM(H30:H32)</f>
        <v>24</v>
      </c>
      <c r="I29" s="28"/>
      <c r="J29" s="12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12"/>
      <c r="B30" s="37">
        <v>17.0</v>
      </c>
      <c r="C30" s="60">
        <f>3/3*100</f>
        <v>100</v>
      </c>
      <c r="D30" s="60">
        <f>19/19*100</f>
        <v>100</v>
      </c>
      <c r="E30" s="7" t="s">
        <v>62</v>
      </c>
      <c r="F30" s="33" t="s">
        <v>63</v>
      </c>
      <c r="G30" s="34">
        <v>45908.0</v>
      </c>
      <c r="H30" s="61">
        <v>4.0</v>
      </c>
      <c r="I30" s="62">
        <v>45916.0</v>
      </c>
      <c r="J30" s="12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2"/>
      <c r="B31" s="30">
        <v>18.0</v>
      </c>
      <c r="C31" s="12"/>
      <c r="D31" s="12"/>
      <c r="E31" s="32" t="s">
        <v>64</v>
      </c>
      <c r="F31" s="39" t="s">
        <v>65</v>
      </c>
      <c r="G31" s="34">
        <v>45909.0</v>
      </c>
      <c r="H31" s="61">
        <v>10.0</v>
      </c>
      <c r="I31" s="36">
        <v>45909.0</v>
      </c>
      <c r="J31" s="12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58.5" customHeight="1">
      <c r="A32" s="12"/>
      <c r="B32" s="37">
        <v>19.0</v>
      </c>
      <c r="C32" s="18"/>
      <c r="D32" s="18"/>
      <c r="E32" s="7" t="s">
        <v>66</v>
      </c>
      <c r="F32" s="33" t="s">
        <v>67</v>
      </c>
      <c r="G32" s="34">
        <v>45913.0</v>
      </c>
      <c r="H32" s="61">
        <v>10.0</v>
      </c>
      <c r="I32" s="62">
        <v>45915.0</v>
      </c>
      <c r="J32" s="12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2"/>
      <c r="B33" s="63"/>
      <c r="C33" s="63"/>
      <c r="D33" s="63"/>
      <c r="E33" s="26" t="s">
        <v>68</v>
      </c>
      <c r="F33" s="2"/>
      <c r="G33" s="4"/>
      <c r="H33" s="64">
        <f>SUM(H34:H37)</f>
        <v>24</v>
      </c>
      <c r="I33" s="28"/>
      <c r="J33" s="12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2"/>
      <c r="B34" s="30">
        <v>20.0</v>
      </c>
      <c r="C34" s="60">
        <f>4/4*100</f>
        <v>100</v>
      </c>
      <c r="D34" s="60">
        <f>23/23*100</f>
        <v>100</v>
      </c>
      <c r="E34" s="32" t="s">
        <v>69</v>
      </c>
      <c r="F34" s="33" t="s">
        <v>38</v>
      </c>
      <c r="G34" s="34">
        <v>45918.0</v>
      </c>
      <c r="H34" s="65">
        <v>4.0</v>
      </c>
      <c r="I34" s="36">
        <v>45918.0</v>
      </c>
      <c r="J34" s="12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2"/>
      <c r="B35" s="30">
        <v>21.0</v>
      </c>
      <c r="C35" s="12"/>
      <c r="D35" s="12"/>
      <c r="E35" s="7" t="s">
        <v>70</v>
      </c>
      <c r="F35" s="33" t="s">
        <v>71</v>
      </c>
      <c r="G35" s="34">
        <v>45919.0</v>
      </c>
      <c r="H35" s="65">
        <v>12.0</v>
      </c>
      <c r="I35" s="36">
        <v>45919.0</v>
      </c>
      <c r="J35" s="12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2"/>
      <c r="B36" s="50">
        <v>22.0</v>
      </c>
      <c r="C36" s="12"/>
      <c r="D36" s="12"/>
      <c r="E36" s="7" t="s">
        <v>72</v>
      </c>
      <c r="F36" s="33" t="s">
        <v>38</v>
      </c>
      <c r="G36" s="34">
        <v>45920.0</v>
      </c>
      <c r="H36" s="65">
        <v>2.0</v>
      </c>
      <c r="I36" s="51">
        <v>45916.0</v>
      </c>
      <c r="J36" s="12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2"/>
      <c r="B37" s="37">
        <v>23.0</v>
      </c>
      <c r="C37" s="18"/>
      <c r="D37" s="18"/>
      <c r="E37" s="7" t="s">
        <v>73</v>
      </c>
      <c r="F37" s="33" t="s">
        <v>74</v>
      </c>
      <c r="G37" s="34">
        <v>45920.0</v>
      </c>
      <c r="H37" s="65">
        <v>6.0</v>
      </c>
      <c r="I37" s="38">
        <v>45922.59810621528</v>
      </c>
      <c r="J37" s="1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2"/>
      <c r="B38" s="63"/>
      <c r="C38" s="63"/>
      <c r="D38" s="63"/>
      <c r="E38" s="26" t="s">
        <v>75</v>
      </c>
      <c r="F38" s="2"/>
      <c r="G38" s="4"/>
      <c r="H38" s="66">
        <f>SUM(H39:H44)</f>
        <v>24</v>
      </c>
      <c r="I38" s="28"/>
      <c r="J38" s="12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2"/>
      <c r="B39" s="37">
        <v>24.0</v>
      </c>
      <c r="C39" s="60">
        <f>7/7*100</f>
        <v>100</v>
      </c>
      <c r="D39" s="60">
        <f>30/30*100</f>
        <v>100</v>
      </c>
      <c r="E39" s="7" t="s">
        <v>76</v>
      </c>
      <c r="F39" s="33" t="s">
        <v>77</v>
      </c>
      <c r="G39" s="34">
        <v>45923.0</v>
      </c>
      <c r="H39" s="67">
        <v>5.0</v>
      </c>
      <c r="I39" s="38">
        <v>45931.0</v>
      </c>
      <c r="J39" s="12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2"/>
      <c r="B40" s="50">
        <v>25.0</v>
      </c>
      <c r="C40" s="12"/>
      <c r="D40" s="12"/>
      <c r="E40" s="32" t="s">
        <v>78</v>
      </c>
      <c r="F40" s="33" t="s">
        <v>79</v>
      </c>
      <c r="G40" s="34">
        <v>45924.0</v>
      </c>
      <c r="H40" s="67">
        <v>4.0</v>
      </c>
      <c r="I40" s="51">
        <v>45923.0</v>
      </c>
      <c r="J40" s="12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2"/>
      <c r="B41" s="50">
        <v>26.0</v>
      </c>
      <c r="C41" s="12"/>
      <c r="D41" s="12"/>
      <c r="E41" s="7" t="s">
        <v>80</v>
      </c>
      <c r="F41" s="33" t="s">
        <v>81</v>
      </c>
      <c r="G41" s="34">
        <v>45924.0</v>
      </c>
      <c r="H41" s="67">
        <v>4.0</v>
      </c>
      <c r="I41" s="51">
        <v>45921.0</v>
      </c>
      <c r="J41" s="12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2"/>
      <c r="B42" s="37">
        <v>27.0</v>
      </c>
      <c r="C42" s="12"/>
      <c r="D42" s="12"/>
      <c r="E42" s="7" t="s">
        <v>82</v>
      </c>
      <c r="F42" s="32" t="s">
        <v>38</v>
      </c>
      <c r="G42" s="34">
        <v>45925.0</v>
      </c>
      <c r="H42" s="67">
        <v>4.0</v>
      </c>
      <c r="I42" s="36">
        <v>45925.0</v>
      </c>
      <c r="J42" s="12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2"/>
      <c r="B43" s="37">
        <v>28.0</v>
      </c>
      <c r="C43" s="12"/>
      <c r="D43" s="12"/>
      <c r="E43" s="7" t="s">
        <v>83</v>
      </c>
      <c r="F43" s="33" t="s">
        <v>84</v>
      </c>
      <c r="G43" s="34">
        <v>45926.0</v>
      </c>
      <c r="H43" s="67">
        <v>5.0</v>
      </c>
      <c r="I43" s="38">
        <v>45929.0</v>
      </c>
      <c r="J43" s="12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8"/>
      <c r="B44" s="37">
        <v>29.0</v>
      </c>
      <c r="C44" s="18"/>
      <c r="D44" s="18"/>
      <c r="E44" s="7" t="s">
        <v>85</v>
      </c>
      <c r="F44" s="39" t="s">
        <v>60</v>
      </c>
      <c r="G44" s="34">
        <v>45927.0</v>
      </c>
      <c r="H44" s="67">
        <v>2.0</v>
      </c>
      <c r="I44" s="38">
        <v>45930.0</v>
      </c>
      <c r="J44" s="18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68" t="s">
        <v>86</v>
      </c>
      <c r="B45" s="26" t="s">
        <v>87</v>
      </c>
      <c r="C45" s="2"/>
      <c r="D45" s="2"/>
      <c r="E45" s="2"/>
      <c r="F45" s="2"/>
      <c r="G45" s="4"/>
      <c r="H45" s="69">
        <f>SUM(H46:H49)</f>
        <v>24</v>
      </c>
      <c r="I45" s="70"/>
      <c r="J45" s="71" t="str">
        <f>SUM(C46,#REF!,C58,C65)/4</f>
        <v>#REF!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2"/>
      <c r="B46" s="30">
        <v>30.0</v>
      </c>
      <c r="C46" s="60">
        <f>4/4*100</f>
        <v>100</v>
      </c>
      <c r="D46" s="60">
        <f>33/33*100</f>
        <v>100</v>
      </c>
      <c r="E46" s="7" t="s">
        <v>88</v>
      </c>
      <c r="F46" s="39" t="s">
        <v>89</v>
      </c>
      <c r="G46" s="34">
        <v>45929.0</v>
      </c>
      <c r="H46" s="69">
        <v>2.0</v>
      </c>
      <c r="I46" s="36">
        <v>45929.0</v>
      </c>
      <c r="J46" s="12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2"/>
      <c r="B47" s="50">
        <v>31.0</v>
      </c>
      <c r="C47" s="12"/>
      <c r="D47" s="12"/>
      <c r="E47" s="7" t="s">
        <v>90</v>
      </c>
      <c r="F47" s="39" t="s">
        <v>91</v>
      </c>
      <c r="G47" s="34">
        <v>45931.0</v>
      </c>
      <c r="H47" s="69">
        <v>6.0</v>
      </c>
      <c r="I47" s="51">
        <v>45930.0</v>
      </c>
      <c r="J47" s="12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2"/>
      <c r="B48" s="37">
        <v>32.0</v>
      </c>
      <c r="C48" s="12"/>
      <c r="D48" s="12"/>
      <c r="E48" s="7" t="s">
        <v>92</v>
      </c>
      <c r="F48" s="33" t="s">
        <v>93</v>
      </c>
      <c r="G48" s="34">
        <v>45932.0</v>
      </c>
      <c r="H48" s="69">
        <v>8.0</v>
      </c>
      <c r="I48" s="38">
        <v>45933.0</v>
      </c>
      <c r="J48" s="12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2"/>
      <c r="B49" s="30">
        <v>33.0</v>
      </c>
      <c r="C49" s="18"/>
      <c r="D49" s="18"/>
      <c r="E49" s="7" t="s">
        <v>94</v>
      </c>
      <c r="F49" s="32" t="s">
        <v>38</v>
      </c>
      <c r="G49" s="34">
        <v>45932.0</v>
      </c>
      <c r="H49" s="69">
        <v>8.0</v>
      </c>
      <c r="I49" s="36">
        <v>45932.0</v>
      </c>
      <c r="J49" s="12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2"/>
      <c r="B50" s="26" t="s">
        <v>95</v>
      </c>
      <c r="C50" s="2"/>
      <c r="D50" s="2"/>
      <c r="E50" s="2"/>
      <c r="F50" s="2"/>
      <c r="G50" s="4"/>
      <c r="H50" s="72">
        <f>SUM(H51:H56)</f>
        <v>24</v>
      </c>
      <c r="I50" s="73"/>
      <c r="J50" s="12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2"/>
      <c r="B51" s="30">
        <v>34.0</v>
      </c>
      <c r="C51" s="60">
        <f>6/6*100</f>
        <v>100</v>
      </c>
      <c r="D51" s="60">
        <f>39/39*100</f>
        <v>100</v>
      </c>
      <c r="E51" s="32" t="s">
        <v>96</v>
      </c>
      <c r="F51" s="32" t="s">
        <v>38</v>
      </c>
      <c r="G51" s="34">
        <v>45936.0</v>
      </c>
      <c r="H51" s="74">
        <v>4.0</v>
      </c>
      <c r="I51" s="36">
        <v>45936.0</v>
      </c>
      <c r="J51" s="12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2"/>
      <c r="B52" s="30">
        <v>35.0</v>
      </c>
      <c r="C52" s="12"/>
      <c r="D52" s="12"/>
      <c r="E52" s="32" t="s">
        <v>97</v>
      </c>
      <c r="F52" s="32" t="s">
        <v>98</v>
      </c>
      <c r="G52" s="34">
        <v>45937.0</v>
      </c>
      <c r="H52" s="74">
        <v>7.0</v>
      </c>
      <c r="I52" s="36">
        <v>45937.0</v>
      </c>
      <c r="J52" s="12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2"/>
      <c r="B53" s="37">
        <v>36.0</v>
      </c>
      <c r="C53" s="12"/>
      <c r="D53" s="12"/>
      <c r="E53" s="32" t="s">
        <v>99</v>
      </c>
      <c r="F53" s="75" t="s">
        <v>89</v>
      </c>
      <c r="G53" s="34">
        <v>45938.0</v>
      </c>
      <c r="H53" s="74">
        <v>3.0</v>
      </c>
      <c r="I53" s="36">
        <v>45938.0</v>
      </c>
      <c r="J53" s="12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2"/>
      <c r="B54" s="37">
        <v>37.0</v>
      </c>
      <c r="C54" s="12"/>
      <c r="D54" s="12"/>
      <c r="E54" s="32" t="s">
        <v>100</v>
      </c>
      <c r="F54" s="33" t="s">
        <v>101</v>
      </c>
      <c r="G54" s="34">
        <v>45938.0</v>
      </c>
      <c r="H54" s="74">
        <v>3.0</v>
      </c>
      <c r="I54" s="38">
        <v>45940.0</v>
      </c>
      <c r="J54" s="12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31.5" customHeight="1">
      <c r="A55" s="12"/>
      <c r="B55" s="30">
        <v>38.0</v>
      </c>
      <c r="C55" s="12"/>
      <c r="D55" s="12"/>
      <c r="E55" s="32" t="s">
        <v>102</v>
      </c>
      <c r="F55" s="75" t="s">
        <v>103</v>
      </c>
      <c r="G55" s="34">
        <v>45939.0</v>
      </c>
      <c r="H55" s="74">
        <v>3.0</v>
      </c>
      <c r="I55" s="36">
        <v>45939.0</v>
      </c>
      <c r="J55" s="12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2"/>
      <c r="B56" s="37">
        <v>39.0</v>
      </c>
      <c r="C56" s="18"/>
      <c r="D56" s="18"/>
      <c r="E56" s="32" t="s">
        <v>104</v>
      </c>
      <c r="F56" s="32" t="s">
        <v>38</v>
      </c>
      <c r="G56" s="34">
        <v>45940.0</v>
      </c>
      <c r="H56" s="74">
        <v>4.0</v>
      </c>
      <c r="I56" s="36">
        <v>45940.0</v>
      </c>
      <c r="J56" s="12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2"/>
      <c r="B57" s="26" t="s">
        <v>105</v>
      </c>
      <c r="C57" s="2"/>
      <c r="D57" s="2"/>
      <c r="E57" s="2"/>
      <c r="F57" s="2"/>
      <c r="G57" s="4"/>
      <c r="H57" s="70">
        <f>SUM(H58:H63)</f>
        <v>24</v>
      </c>
      <c r="I57" s="63"/>
      <c r="J57" s="12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2"/>
      <c r="B58" s="76">
        <v>40.0</v>
      </c>
      <c r="C58" s="77">
        <f>6/6*100</f>
        <v>100</v>
      </c>
      <c r="D58" s="77">
        <f>45/45*100</f>
        <v>100</v>
      </c>
      <c r="E58" s="32" t="s">
        <v>106</v>
      </c>
      <c r="F58" s="75" t="s">
        <v>89</v>
      </c>
      <c r="G58" s="34">
        <v>45945.0</v>
      </c>
      <c r="H58" s="78">
        <v>1.0</v>
      </c>
      <c r="I58" s="36">
        <v>45945.0</v>
      </c>
      <c r="J58" s="12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2"/>
      <c r="B59" s="76">
        <v>41.0</v>
      </c>
      <c r="C59" s="12"/>
      <c r="D59" s="12"/>
      <c r="E59" s="32" t="s">
        <v>107</v>
      </c>
      <c r="F59" s="32" t="s">
        <v>38</v>
      </c>
      <c r="G59" s="34">
        <v>45946.0</v>
      </c>
      <c r="H59" s="78">
        <v>4.0</v>
      </c>
      <c r="I59" s="36">
        <v>45946.0</v>
      </c>
      <c r="J59" s="12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2"/>
      <c r="B60" s="76">
        <v>42.0</v>
      </c>
      <c r="C60" s="12"/>
      <c r="D60" s="12"/>
      <c r="E60" s="32" t="s">
        <v>108</v>
      </c>
      <c r="F60" s="52" t="s">
        <v>109</v>
      </c>
      <c r="G60" s="34">
        <v>45946.0</v>
      </c>
      <c r="H60" s="78">
        <v>4.0</v>
      </c>
      <c r="I60" s="36">
        <v>45946.0</v>
      </c>
      <c r="J60" s="12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2"/>
      <c r="B61" s="76">
        <v>43.0</v>
      </c>
      <c r="C61" s="12"/>
      <c r="D61" s="12"/>
      <c r="E61" s="32" t="s">
        <v>110</v>
      </c>
      <c r="F61" s="32" t="s">
        <v>111</v>
      </c>
      <c r="G61" s="34">
        <v>45946.0</v>
      </c>
      <c r="H61" s="78">
        <v>5.0</v>
      </c>
      <c r="I61" s="36">
        <v>45946.0</v>
      </c>
      <c r="J61" s="12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99.0" customHeight="1">
      <c r="A62" s="12"/>
      <c r="B62" s="79">
        <v>44.0</v>
      </c>
      <c r="C62" s="12"/>
      <c r="D62" s="12"/>
      <c r="E62" s="7" t="s">
        <v>112</v>
      </c>
      <c r="F62" s="32" t="s">
        <v>113</v>
      </c>
      <c r="G62" s="34">
        <v>45947.0</v>
      </c>
      <c r="H62" s="78">
        <v>5.0</v>
      </c>
      <c r="I62" s="51">
        <v>45946.0</v>
      </c>
      <c r="J62" s="12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2"/>
      <c r="B63" s="79">
        <v>45.0</v>
      </c>
      <c r="C63" s="18"/>
      <c r="D63" s="18"/>
      <c r="E63" s="32" t="s">
        <v>114</v>
      </c>
      <c r="F63" s="32" t="s">
        <v>115</v>
      </c>
      <c r="G63" s="34">
        <v>45948.0</v>
      </c>
      <c r="H63" s="78">
        <v>5.0</v>
      </c>
      <c r="I63" s="51">
        <v>45947.0</v>
      </c>
      <c r="J63" s="12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2"/>
      <c r="B64" s="63"/>
      <c r="C64" s="63"/>
      <c r="D64" s="63"/>
      <c r="E64" s="26" t="s">
        <v>116</v>
      </c>
      <c r="F64" s="2"/>
      <c r="G64" s="4"/>
      <c r="H64" s="80">
        <f>SUM(H65:H69)</f>
        <v>15</v>
      </c>
      <c r="I64" s="63"/>
      <c r="J64" s="12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2"/>
      <c r="B65" s="79">
        <v>46.0</v>
      </c>
      <c r="C65" s="81">
        <f>5/5*100</f>
        <v>100</v>
      </c>
      <c r="D65" s="81">
        <f>50/50*100</f>
        <v>100</v>
      </c>
      <c r="E65" s="32" t="s">
        <v>117</v>
      </c>
      <c r="F65" s="75" t="s">
        <v>103</v>
      </c>
      <c r="G65" s="82">
        <v>45950.0</v>
      </c>
      <c r="H65" s="83">
        <v>2.0</v>
      </c>
      <c r="I65" s="84">
        <v>45946.0</v>
      </c>
      <c r="J65" s="12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51.0" customHeight="1">
      <c r="A66" s="12"/>
      <c r="B66" s="76">
        <v>47.0</v>
      </c>
      <c r="C66" s="12"/>
      <c r="D66" s="12"/>
      <c r="E66" s="7" t="s">
        <v>118</v>
      </c>
      <c r="F66" s="33" t="s">
        <v>119</v>
      </c>
      <c r="G66" s="82">
        <v>45952.0</v>
      </c>
      <c r="H66" s="83">
        <v>2.0</v>
      </c>
      <c r="I66" s="84">
        <v>45944.0</v>
      </c>
      <c r="J66" s="12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2"/>
      <c r="B67" s="79">
        <v>48.0</v>
      </c>
      <c r="C67" s="12"/>
      <c r="D67" s="12"/>
      <c r="E67" s="32" t="s">
        <v>120</v>
      </c>
      <c r="F67" s="39" t="s">
        <v>121</v>
      </c>
      <c r="G67" s="82">
        <v>45952.0</v>
      </c>
      <c r="H67" s="83">
        <v>2.0</v>
      </c>
      <c r="I67" s="85">
        <v>45954.0</v>
      </c>
      <c r="J67" s="12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2"/>
      <c r="B68" s="76">
        <v>49.0</v>
      </c>
      <c r="C68" s="12"/>
      <c r="D68" s="12"/>
      <c r="E68" s="32" t="s">
        <v>122</v>
      </c>
      <c r="F68" s="32" t="s">
        <v>38</v>
      </c>
      <c r="G68" s="82">
        <v>45953.0</v>
      </c>
      <c r="H68" s="83">
        <v>4.0</v>
      </c>
      <c r="I68" s="86">
        <v>45953.0</v>
      </c>
      <c r="J68" s="12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2"/>
      <c r="B69" s="76">
        <v>50.0</v>
      </c>
      <c r="C69" s="18"/>
      <c r="D69" s="18"/>
      <c r="E69" s="32" t="s">
        <v>123</v>
      </c>
      <c r="F69" s="32" t="s">
        <v>124</v>
      </c>
      <c r="G69" s="82">
        <v>45955.0</v>
      </c>
      <c r="H69" s="83">
        <v>5.0</v>
      </c>
      <c r="I69" s="86">
        <v>45955.0</v>
      </c>
      <c r="J69" s="12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2"/>
      <c r="B70" s="26" t="s">
        <v>125</v>
      </c>
      <c r="C70" s="2"/>
      <c r="D70" s="2"/>
      <c r="E70" s="2"/>
      <c r="F70" s="2"/>
      <c r="G70" s="4"/>
      <c r="H70" s="59">
        <f>SUM(H71:H75)</f>
        <v>24</v>
      </c>
      <c r="I70" s="87"/>
      <c r="J70" s="12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84.75" customHeight="1">
      <c r="A71" s="12"/>
      <c r="B71" s="76">
        <v>51.0</v>
      </c>
      <c r="C71" s="88">
        <f>4/4*100</f>
        <v>100</v>
      </c>
      <c r="D71" s="89">
        <f>54/54*100</f>
        <v>100</v>
      </c>
      <c r="E71" s="7" t="s">
        <v>126</v>
      </c>
      <c r="F71" s="90" t="s">
        <v>127</v>
      </c>
      <c r="G71" s="91">
        <v>45960.0</v>
      </c>
      <c r="H71" s="92">
        <v>2.0</v>
      </c>
      <c r="I71" s="86">
        <v>45960.0</v>
      </c>
      <c r="J71" s="12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84.75" customHeight="1">
      <c r="A72" s="12"/>
      <c r="B72" s="79">
        <v>52.0</v>
      </c>
      <c r="C72" s="12"/>
      <c r="D72" s="12"/>
      <c r="E72" s="7" t="s">
        <v>128</v>
      </c>
      <c r="F72" s="33" t="s">
        <v>129</v>
      </c>
      <c r="G72" s="91">
        <v>45960.0</v>
      </c>
      <c r="H72" s="92">
        <v>2.0</v>
      </c>
      <c r="I72" s="84">
        <v>45954.0</v>
      </c>
      <c r="J72" s="12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41.25" customHeight="1">
      <c r="A73" s="12"/>
      <c r="B73" s="76">
        <v>53.0</v>
      </c>
      <c r="C73" s="12"/>
      <c r="D73" s="12"/>
      <c r="E73" s="32" t="s">
        <v>130</v>
      </c>
      <c r="F73" s="75" t="s">
        <v>103</v>
      </c>
      <c r="G73" s="91">
        <v>45961.0</v>
      </c>
      <c r="H73" s="92">
        <v>2.0</v>
      </c>
      <c r="I73" s="86">
        <v>45961.0</v>
      </c>
      <c r="J73" s="12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48.75" customHeight="1">
      <c r="A74" s="12"/>
      <c r="B74" s="76">
        <v>54.0</v>
      </c>
      <c r="C74" s="12"/>
      <c r="D74" s="12"/>
      <c r="E74" s="32" t="s">
        <v>131</v>
      </c>
      <c r="F74" s="33" t="s">
        <v>132</v>
      </c>
      <c r="G74" s="91">
        <v>45961.0</v>
      </c>
      <c r="H74" s="92">
        <v>2.0</v>
      </c>
      <c r="I74" s="84">
        <v>45960.0</v>
      </c>
      <c r="J74" s="12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62.25" customHeight="1">
      <c r="A75" s="18"/>
      <c r="B75" s="79">
        <v>55.0</v>
      </c>
      <c r="C75" s="18"/>
      <c r="D75" s="18"/>
      <c r="E75" s="7" t="s">
        <v>133</v>
      </c>
      <c r="F75" s="33" t="s">
        <v>134</v>
      </c>
      <c r="G75" s="91">
        <v>45962.0</v>
      </c>
      <c r="H75" s="92">
        <v>16.0</v>
      </c>
      <c r="I75" s="85">
        <v>45971.0</v>
      </c>
      <c r="J75" s="18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93"/>
      <c r="B76" s="26" t="s">
        <v>135</v>
      </c>
      <c r="C76" s="2"/>
      <c r="D76" s="2"/>
      <c r="E76" s="2"/>
      <c r="F76" s="2"/>
      <c r="G76" s="4"/>
      <c r="H76" s="40">
        <f>SUM(H77:H81)</f>
        <v>24</v>
      </c>
      <c r="I76" s="63"/>
      <c r="J76" s="94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2"/>
      <c r="B77" s="76">
        <v>56.0</v>
      </c>
      <c r="C77" s="95">
        <f>5/5*100</f>
        <v>100</v>
      </c>
      <c r="D77" s="96">
        <f>59/59*100</f>
        <v>100</v>
      </c>
      <c r="E77" s="7" t="s">
        <v>136</v>
      </c>
      <c r="F77" s="32" t="s">
        <v>60</v>
      </c>
      <c r="G77" s="91">
        <v>45965.0</v>
      </c>
      <c r="H77" s="97">
        <v>2.0</v>
      </c>
      <c r="I77" s="86">
        <v>45965.0</v>
      </c>
      <c r="J77" s="12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2"/>
      <c r="B78" s="76">
        <v>57.0</v>
      </c>
      <c r="C78" s="12"/>
      <c r="D78" s="12"/>
      <c r="E78" s="32" t="s">
        <v>137</v>
      </c>
      <c r="F78" s="33" t="s">
        <v>138</v>
      </c>
      <c r="G78" s="91">
        <v>45965.0</v>
      </c>
      <c r="H78" s="97">
        <v>5.0</v>
      </c>
      <c r="I78" s="86">
        <v>45965.0</v>
      </c>
      <c r="J78" s="12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2"/>
      <c r="B79" s="98">
        <v>58.0</v>
      </c>
      <c r="C79" s="12"/>
      <c r="D79" s="12"/>
      <c r="E79" s="32" t="s">
        <v>139</v>
      </c>
      <c r="F79" s="32" t="s">
        <v>38</v>
      </c>
      <c r="G79" s="91">
        <v>45966.0</v>
      </c>
      <c r="H79" s="97">
        <v>4.0</v>
      </c>
      <c r="I79" s="86">
        <v>45966.0</v>
      </c>
      <c r="J79" s="12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78.75" customHeight="1">
      <c r="A80" s="12"/>
      <c r="B80" s="76">
        <v>59.0</v>
      </c>
      <c r="C80" s="12"/>
      <c r="D80" s="12"/>
      <c r="E80" s="7" t="s">
        <v>140</v>
      </c>
      <c r="F80" s="32" t="s">
        <v>141</v>
      </c>
      <c r="G80" s="91">
        <v>45967.0</v>
      </c>
      <c r="H80" s="97">
        <v>5.0</v>
      </c>
      <c r="I80" s="85">
        <v>45971.0</v>
      </c>
      <c r="J80" s="12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60.75" customHeight="1">
      <c r="A81" s="12"/>
      <c r="B81" s="76">
        <v>59.0</v>
      </c>
      <c r="C81" s="18"/>
      <c r="D81" s="18"/>
      <c r="E81" s="32" t="s">
        <v>142</v>
      </c>
      <c r="F81" s="32" t="s">
        <v>143</v>
      </c>
      <c r="G81" s="91">
        <v>45968.0</v>
      </c>
      <c r="H81" s="97">
        <v>8.0</v>
      </c>
      <c r="I81" s="85">
        <v>45971.0</v>
      </c>
      <c r="J81" s="12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2"/>
      <c r="B82" s="26" t="s">
        <v>144</v>
      </c>
      <c r="C82" s="2"/>
      <c r="D82" s="2"/>
      <c r="E82" s="2"/>
      <c r="F82" s="2"/>
      <c r="G82" s="4"/>
      <c r="H82" s="99">
        <f>SUM(H83:H88)</f>
        <v>24</v>
      </c>
      <c r="I82" s="63"/>
      <c r="J82" s="12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74.25" customHeight="1">
      <c r="A83" s="12"/>
      <c r="B83" s="98">
        <v>60.0</v>
      </c>
      <c r="C83" s="60">
        <f>6/6*100</f>
        <v>100</v>
      </c>
      <c r="D83" s="100">
        <f>65/65*100</f>
        <v>100</v>
      </c>
      <c r="E83" s="32" t="s">
        <v>145</v>
      </c>
      <c r="F83" s="33" t="s">
        <v>146</v>
      </c>
      <c r="G83" s="91">
        <v>45971.0</v>
      </c>
      <c r="H83" s="101">
        <v>5.0</v>
      </c>
      <c r="I83" s="85">
        <v>45985.0</v>
      </c>
      <c r="J83" s="12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49.5" customHeight="1">
      <c r="A84" s="12"/>
      <c r="B84" s="76">
        <v>61.0</v>
      </c>
      <c r="C84" s="12"/>
      <c r="D84" s="12"/>
      <c r="E84" s="7" t="s">
        <v>147</v>
      </c>
      <c r="F84" s="32" t="s">
        <v>60</v>
      </c>
      <c r="G84" s="91">
        <v>45972.0</v>
      </c>
      <c r="H84" s="101">
        <v>2.0</v>
      </c>
      <c r="I84" s="86">
        <v>45972.0</v>
      </c>
      <c r="J84" s="12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49.5" customHeight="1">
      <c r="A85" s="12"/>
      <c r="B85" s="76">
        <v>62.0</v>
      </c>
      <c r="C85" s="12"/>
      <c r="D85" s="12"/>
      <c r="E85" s="7" t="s">
        <v>148</v>
      </c>
      <c r="F85" s="102" t="s">
        <v>149</v>
      </c>
      <c r="G85" s="91">
        <v>45972.0</v>
      </c>
      <c r="H85" s="101">
        <v>5.0</v>
      </c>
      <c r="I85" s="86">
        <v>45972.0</v>
      </c>
      <c r="J85" s="12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62.25" customHeight="1">
      <c r="A86" s="12"/>
      <c r="B86" s="76">
        <v>63.0</v>
      </c>
      <c r="C86" s="12"/>
      <c r="D86" s="12"/>
      <c r="E86" s="32" t="s">
        <v>150</v>
      </c>
      <c r="F86" s="32" t="s">
        <v>151</v>
      </c>
      <c r="G86" s="91">
        <v>45973.0</v>
      </c>
      <c r="H86" s="101">
        <v>2.0</v>
      </c>
      <c r="I86" s="86">
        <v>45973.0</v>
      </c>
      <c r="J86" s="12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45.0" customHeight="1">
      <c r="A87" s="12"/>
      <c r="B87" s="76">
        <v>64.0</v>
      </c>
      <c r="C87" s="12"/>
      <c r="D87" s="12"/>
      <c r="E87" s="7" t="s">
        <v>152</v>
      </c>
      <c r="F87" s="102" t="s">
        <v>153</v>
      </c>
      <c r="G87" s="91">
        <v>45973.0</v>
      </c>
      <c r="H87" s="101">
        <v>6.0</v>
      </c>
      <c r="I87" s="86">
        <v>45973.0</v>
      </c>
      <c r="J87" s="12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61.5" customHeight="1">
      <c r="A88" s="12"/>
      <c r="B88" s="76">
        <v>65.0</v>
      </c>
      <c r="C88" s="18"/>
      <c r="D88" s="18"/>
      <c r="E88" s="32" t="s">
        <v>154</v>
      </c>
      <c r="F88" s="32" t="s">
        <v>38</v>
      </c>
      <c r="G88" s="91">
        <v>45974.0</v>
      </c>
      <c r="H88" s="101">
        <v>4.0</v>
      </c>
      <c r="I88" s="86">
        <v>45974.0</v>
      </c>
      <c r="J88" s="12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2"/>
      <c r="B89" s="26" t="s">
        <v>155</v>
      </c>
      <c r="C89" s="2"/>
      <c r="D89" s="2"/>
      <c r="E89" s="2"/>
      <c r="F89" s="2"/>
      <c r="G89" s="4"/>
      <c r="H89" s="103">
        <f>SUM(H90:H94)</f>
        <v>24</v>
      </c>
      <c r="I89" s="63"/>
      <c r="J89" s="12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53.25" customHeight="1">
      <c r="A90" s="12"/>
      <c r="B90" s="76">
        <v>66.0</v>
      </c>
      <c r="C90" s="60">
        <f>5/5*100</f>
        <v>100</v>
      </c>
      <c r="D90" s="60">
        <f>71/71*100</f>
        <v>100</v>
      </c>
      <c r="E90" s="7" t="s">
        <v>156</v>
      </c>
      <c r="F90" s="32" t="s">
        <v>157</v>
      </c>
      <c r="G90" s="91">
        <v>45979.0</v>
      </c>
      <c r="H90" s="104">
        <v>4.0</v>
      </c>
      <c r="I90" s="86">
        <v>45975.0</v>
      </c>
      <c r="J90" s="12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53.25" customHeight="1">
      <c r="A91" s="12"/>
      <c r="B91" s="98">
        <v>67.0</v>
      </c>
      <c r="C91" s="12"/>
      <c r="D91" s="12"/>
      <c r="E91" s="32" t="s">
        <v>158</v>
      </c>
      <c r="F91" s="33" t="s">
        <v>146</v>
      </c>
      <c r="G91" s="91">
        <v>45980.0</v>
      </c>
      <c r="H91" s="104">
        <v>6.0</v>
      </c>
      <c r="I91" s="85">
        <v>45985.0</v>
      </c>
      <c r="J91" s="12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53.25" customHeight="1">
      <c r="A92" s="12"/>
      <c r="B92" s="76">
        <v>68.0</v>
      </c>
      <c r="C92" s="12"/>
      <c r="D92" s="12"/>
      <c r="E92" s="32" t="s">
        <v>159</v>
      </c>
      <c r="F92" s="32" t="s">
        <v>160</v>
      </c>
      <c r="G92" s="91">
        <v>45980.0</v>
      </c>
      <c r="H92" s="104">
        <v>2.0</v>
      </c>
      <c r="I92" s="86">
        <v>45980.0</v>
      </c>
      <c r="J92" s="12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53.25" customHeight="1">
      <c r="A93" s="12"/>
      <c r="B93" s="76">
        <v>69.0</v>
      </c>
      <c r="C93" s="12"/>
      <c r="D93" s="12"/>
      <c r="E93" s="7" t="s">
        <v>161</v>
      </c>
      <c r="F93" s="102" t="s">
        <v>162</v>
      </c>
      <c r="G93" s="91">
        <v>45981.0</v>
      </c>
      <c r="H93" s="104">
        <v>9.0</v>
      </c>
      <c r="I93" s="86">
        <v>45981.0</v>
      </c>
      <c r="J93" s="12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53.25" customHeight="1">
      <c r="A94" s="12"/>
      <c r="B94" s="76">
        <v>70.0</v>
      </c>
      <c r="C94" s="18"/>
      <c r="D94" s="18"/>
      <c r="E94" s="32" t="s">
        <v>163</v>
      </c>
      <c r="F94" s="32" t="s">
        <v>164</v>
      </c>
      <c r="G94" s="91">
        <v>45983.0</v>
      </c>
      <c r="H94" s="104">
        <v>3.0</v>
      </c>
      <c r="I94" s="86">
        <v>45983.0</v>
      </c>
      <c r="J94" s="12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2"/>
      <c r="B95" s="105" t="s">
        <v>165</v>
      </c>
      <c r="C95" s="2"/>
      <c r="D95" s="2"/>
      <c r="E95" s="2"/>
      <c r="F95" s="2"/>
      <c r="G95" s="4"/>
      <c r="H95" s="106">
        <f>SUM(H96:H100)</f>
        <v>24</v>
      </c>
      <c r="I95" s="107"/>
      <c r="J95" s="12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54.75" customHeight="1">
      <c r="A96" s="12"/>
      <c r="B96" s="76">
        <v>71.0</v>
      </c>
      <c r="C96" s="100">
        <f>5/5*100</f>
        <v>100</v>
      </c>
      <c r="D96" s="100">
        <f>75/75*100</f>
        <v>100</v>
      </c>
      <c r="E96" s="32" t="s">
        <v>166</v>
      </c>
      <c r="F96" s="33" t="s">
        <v>146</v>
      </c>
      <c r="G96" s="91">
        <v>45985.0</v>
      </c>
      <c r="H96" s="97">
        <v>6.0</v>
      </c>
      <c r="I96" s="86">
        <v>45985.0</v>
      </c>
      <c r="J96" s="12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54.75" customHeight="1">
      <c r="A97" s="12"/>
      <c r="B97" s="76">
        <v>72.0</v>
      </c>
      <c r="C97" s="12"/>
      <c r="D97" s="12"/>
      <c r="E97" s="32" t="s">
        <v>167</v>
      </c>
      <c r="F97" s="33" t="s">
        <v>146</v>
      </c>
      <c r="G97" s="91">
        <v>45986.0</v>
      </c>
      <c r="H97" s="97">
        <v>6.0</v>
      </c>
      <c r="I97" s="86">
        <v>45986.0</v>
      </c>
      <c r="J97" s="12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54.75" customHeight="1">
      <c r="A98" s="12"/>
      <c r="B98" s="79">
        <v>73.0</v>
      </c>
      <c r="C98" s="12"/>
      <c r="D98" s="12"/>
      <c r="E98" s="7" t="s">
        <v>168</v>
      </c>
      <c r="F98" s="102" t="s">
        <v>169</v>
      </c>
      <c r="G98" s="91">
        <v>45987.0</v>
      </c>
      <c r="H98" s="97">
        <v>8.0</v>
      </c>
      <c r="I98" s="84">
        <v>45985.0</v>
      </c>
      <c r="J98" s="12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54.75" customHeight="1">
      <c r="A99" s="12"/>
      <c r="B99" s="76">
        <v>74.0</v>
      </c>
      <c r="C99" s="12"/>
      <c r="D99" s="12"/>
      <c r="E99" s="32" t="s">
        <v>170</v>
      </c>
      <c r="F99" s="75" t="s">
        <v>103</v>
      </c>
      <c r="G99" s="91">
        <v>45988.0</v>
      </c>
      <c r="H99" s="97">
        <v>2.0</v>
      </c>
      <c r="I99" s="86">
        <v>45988.0</v>
      </c>
      <c r="J99" s="12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54.75" customHeight="1">
      <c r="A100" s="18"/>
      <c r="B100" s="76">
        <v>75.0</v>
      </c>
      <c r="C100" s="18"/>
      <c r="D100" s="18"/>
      <c r="E100" s="7" t="s">
        <v>171</v>
      </c>
      <c r="F100" s="33" t="s">
        <v>172</v>
      </c>
      <c r="G100" s="91">
        <v>45989.0</v>
      </c>
      <c r="H100" s="97">
        <v>2.0</v>
      </c>
      <c r="I100" s="86">
        <v>45989.0</v>
      </c>
      <c r="J100" s="12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</sheetData>
  <mergeCells count="73">
    <mergeCell ref="D4:E4"/>
    <mergeCell ref="A5:C5"/>
    <mergeCell ref="D5:E5"/>
    <mergeCell ref="H5:I5"/>
    <mergeCell ref="A6:J6"/>
    <mergeCell ref="B8:G8"/>
    <mergeCell ref="A1:C1"/>
    <mergeCell ref="D1:E1"/>
    <mergeCell ref="F1:G5"/>
    <mergeCell ref="J1:J5"/>
    <mergeCell ref="A2:C2"/>
    <mergeCell ref="D2:E2"/>
    <mergeCell ref="D3:E3"/>
    <mergeCell ref="C15:C16"/>
    <mergeCell ref="D15:D16"/>
    <mergeCell ref="C9:C13"/>
    <mergeCell ref="C18:C19"/>
    <mergeCell ref="D18:D19"/>
    <mergeCell ref="B20:G20"/>
    <mergeCell ref="C30:C32"/>
    <mergeCell ref="D30:D32"/>
    <mergeCell ref="C21:C23"/>
    <mergeCell ref="D21:D23"/>
    <mergeCell ref="A24:A44"/>
    <mergeCell ref="J24:J44"/>
    <mergeCell ref="D25:D28"/>
    <mergeCell ref="B29:G29"/>
    <mergeCell ref="D34:D37"/>
    <mergeCell ref="B45:G45"/>
    <mergeCell ref="C39:C44"/>
    <mergeCell ref="D39:D44"/>
    <mergeCell ref="A45:A75"/>
    <mergeCell ref="J45:J75"/>
    <mergeCell ref="D46:D49"/>
    <mergeCell ref="B50:G50"/>
    <mergeCell ref="B57:G57"/>
    <mergeCell ref="D77:D81"/>
    <mergeCell ref="B82:G82"/>
    <mergeCell ref="C83:C88"/>
    <mergeCell ref="D83:D88"/>
    <mergeCell ref="C77:C81"/>
    <mergeCell ref="C90:C94"/>
    <mergeCell ref="D90:D94"/>
    <mergeCell ref="B95:G95"/>
    <mergeCell ref="C96:C100"/>
    <mergeCell ref="D96:D100"/>
    <mergeCell ref="B70:G70"/>
    <mergeCell ref="C71:C75"/>
    <mergeCell ref="D71:D75"/>
    <mergeCell ref="A76:A100"/>
    <mergeCell ref="B76:G76"/>
    <mergeCell ref="J76:J100"/>
    <mergeCell ref="B89:G89"/>
    <mergeCell ref="A3:C3"/>
    <mergeCell ref="A4:C4"/>
    <mergeCell ref="A8:A23"/>
    <mergeCell ref="J8:J23"/>
    <mergeCell ref="D9:D13"/>
    <mergeCell ref="B14:G14"/>
    <mergeCell ref="B17:G17"/>
    <mergeCell ref="B24:G24"/>
    <mergeCell ref="C25:C28"/>
    <mergeCell ref="C34:C37"/>
    <mergeCell ref="E33:G33"/>
    <mergeCell ref="E38:G38"/>
    <mergeCell ref="C51:C56"/>
    <mergeCell ref="D51:D56"/>
    <mergeCell ref="C46:C49"/>
    <mergeCell ref="C58:C63"/>
    <mergeCell ref="D58:D63"/>
    <mergeCell ref="E64:G64"/>
    <mergeCell ref="C65:C69"/>
    <mergeCell ref="D65:D69"/>
  </mergeCells>
  <hyperlinks>
    <hyperlink r:id="rId1" ref="D4"/>
    <hyperlink r:id="rId2" ref="F9"/>
    <hyperlink r:id="rId3" ref="F10"/>
    <hyperlink r:id="rId4" ref="F11"/>
    <hyperlink r:id="rId5" ref="F12"/>
    <hyperlink r:id="rId6" ref="F15"/>
    <hyperlink r:id="rId7" ref="F18"/>
    <hyperlink r:id="rId8" ref="F22"/>
    <hyperlink r:id="rId9" ref="F23"/>
    <hyperlink r:id="rId10" ref="F25"/>
    <hyperlink r:id="rId11" ref="F26"/>
    <hyperlink r:id="rId12" ref="F27"/>
    <hyperlink r:id="rId13" ref="F30"/>
    <hyperlink r:id="rId14" ref="F31"/>
    <hyperlink r:id="rId15" ref="F32"/>
    <hyperlink r:id="rId16" ref="F34"/>
    <hyperlink r:id="rId17" ref="F35"/>
    <hyperlink r:id="rId18" ref="F36"/>
    <hyperlink r:id="rId19" ref="F37"/>
    <hyperlink r:id="rId20" ref="F39"/>
    <hyperlink r:id="rId21" ref="F40"/>
    <hyperlink r:id="rId22" ref="F41"/>
    <hyperlink r:id="rId23" ref="F43"/>
    <hyperlink r:id="rId24" ref="F44"/>
    <hyperlink r:id="rId25" ref="F46"/>
    <hyperlink r:id="rId26" ref="F47"/>
    <hyperlink r:id="rId27" ref="F48"/>
    <hyperlink r:id="rId28" ref="F54"/>
    <hyperlink r:id="rId29" ref="F60"/>
    <hyperlink r:id="rId30" ref="F66"/>
    <hyperlink r:id="rId31" ref="F67"/>
    <hyperlink r:id="rId32" ref="F71"/>
    <hyperlink r:id="rId33" ref="F72"/>
    <hyperlink r:id="rId34" ref="F74"/>
    <hyperlink r:id="rId35" ref="F75"/>
    <hyperlink r:id="rId36" ref="F78"/>
    <hyperlink r:id="rId37" ref="F83"/>
    <hyperlink r:id="rId38" ref="F85"/>
    <hyperlink r:id="rId39" ref="F87"/>
    <hyperlink r:id="rId40" ref="F91"/>
    <hyperlink r:id="rId41" ref="F93"/>
    <hyperlink r:id="rId42" ref="F96"/>
    <hyperlink r:id="rId43" ref="F97"/>
    <hyperlink r:id="rId44" ref="F98"/>
    <hyperlink r:id="rId45" ref="F100"/>
  </hyperlinks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8.5"/>
    <col customWidth="1" min="3" max="3" width="74.38"/>
    <col customWidth="1" min="4" max="4" width="94.75"/>
    <col customWidth="1" min="5" max="5" width="30.13"/>
    <col customWidth="1" min="6" max="6" width="75.0"/>
    <col customWidth="1" min="7" max="7" width="81.75"/>
    <col customWidth="1" min="8" max="8" width="34.38"/>
    <col customWidth="1" min="9" max="9" width="72.38"/>
    <col customWidth="1" min="10" max="10" width="73.75"/>
    <col customWidth="1" min="11" max="11" width="29.63"/>
    <col customWidth="1" min="12" max="12" width="74.0"/>
    <col customWidth="1" min="13" max="13" width="57.75"/>
    <col customWidth="1" min="14" max="14" width="39.63"/>
    <col customWidth="1" min="15" max="15" width="46.88"/>
    <col customWidth="1" min="16" max="16" width="70.75"/>
    <col customWidth="1" min="17" max="18" width="49.25"/>
    <col customWidth="1" min="19" max="19" width="73.88"/>
    <col customWidth="1" min="20" max="21" width="42.63"/>
    <col customWidth="1" min="22" max="22" width="78.38"/>
  </cols>
  <sheetData>
    <row r="1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</row>
    <row r="2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</row>
    <row r="3">
      <c r="A3" s="108"/>
      <c r="B3" s="109" t="s">
        <v>173</v>
      </c>
      <c r="C3" s="110" t="s">
        <v>21</v>
      </c>
      <c r="D3" s="110" t="s">
        <v>22</v>
      </c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</row>
    <row r="4">
      <c r="A4" s="108"/>
      <c r="B4" s="12"/>
      <c r="C4" s="111" t="s">
        <v>174</v>
      </c>
      <c r="D4" s="112" t="s">
        <v>175</v>
      </c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</row>
    <row r="5">
      <c r="A5" s="108"/>
      <c r="B5" s="12"/>
      <c r="C5" s="111" t="s">
        <v>176</v>
      </c>
      <c r="D5" s="113" t="s">
        <v>177</v>
      </c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</row>
    <row r="6">
      <c r="A6" s="108"/>
      <c r="B6" s="12"/>
      <c r="C6" s="111" t="s">
        <v>178</v>
      </c>
      <c r="D6" s="112" t="s">
        <v>179</v>
      </c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</row>
    <row r="7">
      <c r="A7" s="108"/>
      <c r="B7" s="12"/>
      <c r="C7" s="111" t="s">
        <v>180</v>
      </c>
      <c r="D7" s="112" t="s">
        <v>181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r="8">
      <c r="A8" s="108"/>
      <c r="B8" s="12"/>
      <c r="C8" s="111" t="s">
        <v>182</v>
      </c>
      <c r="D8" s="113" t="s">
        <v>183</v>
      </c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</row>
    <row r="9">
      <c r="A9" s="108"/>
      <c r="B9" s="12"/>
      <c r="C9" s="111" t="s">
        <v>184</v>
      </c>
      <c r="D9" s="114" t="s">
        <v>185</v>
      </c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</row>
    <row r="10">
      <c r="A10" s="108"/>
      <c r="B10" s="12"/>
      <c r="C10" s="111" t="s">
        <v>186</v>
      </c>
      <c r="D10" s="113" t="s">
        <v>187</v>
      </c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</row>
    <row r="11">
      <c r="A11" s="108"/>
      <c r="B11" s="12"/>
      <c r="C11" s="111" t="s">
        <v>188</v>
      </c>
      <c r="D11" s="112" t="s">
        <v>189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</row>
    <row r="12">
      <c r="A12" s="108"/>
      <c r="B12" s="18"/>
      <c r="C12" s="115" t="s">
        <v>190</v>
      </c>
      <c r="D12" s="114" t="s">
        <v>191</v>
      </c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</row>
    <row r="13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</row>
    <row r="14">
      <c r="A14" s="108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</row>
    <row r="15">
      <c r="A15" s="108"/>
      <c r="B15" s="109" t="s">
        <v>192</v>
      </c>
      <c r="C15" s="110" t="s">
        <v>21</v>
      </c>
      <c r="D15" s="110" t="s">
        <v>22</v>
      </c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</row>
    <row r="16" ht="22.5" customHeight="1">
      <c r="A16" s="108"/>
      <c r="B16" s="12"/>
      <c r="C16" s="116" t="s">
        <v>37</v>
      </c>
      <c r="D16" s="116" t="s">
        <v>38</v>
      </c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</row>
    <row r="17" ht="36.75" customHeight="1">
      <c r="A17" s="108"/>
      <c r="B17" s="12"/>
      <c r="C17" s="116" t="s">
        <v>193</v>
      </c>
      <c r="D17" s="116" t="s">
        <v>38</v>
      </c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</row>
    <row r="18">
      <c r="A18" s="108"/>
      <c r="B18" s="12"/>
      <c r="C18" s="111" t="s">
        <v>194</v>
      </c>
      <c r="D18" s="117" t="s">
        <v>195</v>
      </c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</row>
    <row r="19">
      <c r="A19" s="108"/>
      <c r="B19" s="12"/>
      <c r="C19" s="118" t="s">
        <v>57</v>
      </c>
      <c r="D19" s="116" t="s">
        <v>58</v>
      </c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</row>
    <row r="20" ht="23.25" customHeight="1">
      <c r="A20" s="108"/>
      <c r="B20" s="12"/>
      <c r="C20" s="119" t="s">
        <v>196</v>
      </c>
      <c r="D20" s="120" t="s">
        <v>127</v>
      </c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</row>
    <row r="21" ht="56.25" customHeight="1">
      <c r="A21" s="108"/>
      <c r="B21" s="12"/>
      <c r="C21" s="121" t="s">
        <v>197</v>
      </c>
      <c r="D21" s="122" t="s">
        <v>198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</row>
    <row r="22" ht="54.75" customHeight="1">
      <c r="A22" s="108"/>
      <c r="B22" s="12"/>
      <c r="C22" s="121" t="s">
        <v>199</v>
      </c>
      <c r="D22" s="122" t="s">
        <v>200</v>
      </c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</row>
    <row r="23">
      <c r="A23" s="108"/>
      <c r="B23" s="12"/>
      <c r="C23" s="121" t="s">
        <v>201</v>
      </c>
      <c r="D23" s="123" t="s">
        <v>103</v>
      </c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</row>
    <row r="24">
      <c r="A24" s="108"/>
      <c r="B24" s="12"/>
      <c r="C24" s="121" t="s">
        <v>202</v>
      </c>
      <c r="D24" s="122" t="s">
        <v>203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</row>
    <row r="25">
      <c r="A25" s="108"/>
      <c r="B25" s="12"/>
      <c r="C25" s="121" t="s">
        <v>204</v>
      </c>
      <c r="D25" s="123" t="s">
        <v>103</v>
      </c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</row>
    <row r="26">
      <c r="A26" s="108"/>
      <c r="B26" s="12"/>
      <c r="C26" s="121" t="s">
        <v>205</v>
      </c>
      <c r="D26" s="122" t="s">
        <v>206</v>
      </c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</row>
    <row r="27">
      <c r="A27" s="108"/>
      <c r="B27" s="12"/>
      <c r="C27" s="121" t="s">
        <v>207</v>
      </c>
      <c r="D27" s="123" t="s">
        <v>103</v>
      </c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</row>
    <row r="28">
      <c r="A28" s="108"/>
      <c r="B28" s="12"/>
      <c r="C28" s="121" t="s">
        <v>208</v>
      </c>
      <c r="D28" s="122" t="s">
        <v>209</v>
      </c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</row>
    <row r="29">
      <c r="A29" s="108"/>
      <c r="B29" s="12"/>
      <c r="C29" s="121" t="s">
        <v>210</v>
      </c>
      <c r="D29" s="123" t="s">
        <v>103</v>
      </c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</row>
    <row r="30">
      <c r="A30" s="108"/>
      <c r="B30" s="18"/>
      <c r="C30" s="121" t="s">
        <v>211</v>
      </c>
      <c r="D30" s="122" t="s">
        <v>212</v>
      </c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</row>
    <row r="3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</row>
    <row r="32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</row>
    <row r="33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</row>
    <row r="34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</row>
    <row r="35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</row>
    <row r="36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</row>
    <row r="37">
      <c r="A37" s="108"/>
      <c r="B37" s="109" t="s">
        <v>213</v>
      </c>
      <c r="C37" s="124" t="s">
        <v>214</v>
      </c>
      <c r="D37" s="4"/>
      <c r="E37" s="108"/>
      <c r="F37" s="124" t="s">
        <v>215</v>
      </c>
      <c r="G37" s="4"/>
      <c r="H37" s="108"/>
      <c r="I37" s="124" t="s">
        <v>216</v>
      </c>
      <c r="J37" s="4"/>
      <c r="K37" s="108"/>
      <c r="L37" s="124" t="s">
        <v>217</v>
      </c>
      <c r="M37" s="4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</row>
    <row r="38" ht="14.25" customHeight="1">
      <c r="A38" s="108"/>
      <c r="B38" s="12"/>
      <c r="C38" s="110" t="s">
        <v>21</v>
      </c>
      <c r="D38" s="110" t="s">
        <v>22</v>
      </c>
      <c r="E38" s="108"/>
      <c r="F38" s="110" t="s">
        <v>21</v>
      </c>
      <c r="G38" s="110" t="s">
        <v>22</v>
      </c>
      <c r="H38" s="108"/>
      <c r="I38" s="110" t="s">
        <v>21</v>
      </c>
      <c r="J38" s="110" t="s">
        <v>22</v>
      </c>
      <c r="K38" s="108"/>
      <c r="L38" s="110" t="s">
        <v>21</v>
      </c>
      <c r="M38" s="110" t="s">
        <v>22</v>
      </c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</row>
    <row r="39" ht="42.0" customHeight="1">
      <c r="A39" s="108"/>
      <c r="B39" s="12"/>
      <c r="C39" s="125" t="s">
        <v>218</v>
      </c>
      <c r="D39" s="126" t="s">
        <v>219</v>
      </c>
      <c r="E39" s="108"/>
      <c r="F39" s="125" t="s">
        <v>220</v>
      </c>
      <c r="G39" s="126" t="s">
        <v>221</v>
      </c>
      <c r="H39" s="108"/>
      <c r="I39" s="125" t="s">
        <v>222</v>
      </c>
      <c r="J39" s="126" t="s">
        <v>223</v>
      </c>
      <c r="K39" s="108"/>
      <c r="L39" s="125" t="s">
        <v>224</v>
      </c>
      <c r="M39" s="126" t="s">
        <v>225</v>
      </c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</row>
    <row r="40" ht="32.25" customHeight="1">
      <c r="A40" s="108"/>
      <c r="B40" s="12"/>
      <c r="C40" s="119" t="s">
        <v>226</v>
      </c>
      <c r="D40" s="127" t="s">
        <v>227</v>
      </c>
      <c r="E40" s="108"/>
      <c r="F40" s="125" t="s">
        <v>228</v>
      </c>
      <c r="G40" s="127" t="s">
        <v>229</v>
      </c>
      <c r="H40" s="108"/>
      <c r="I40" s="125" t="s">
        <v>230</v>
      </c>
      <c r="J40" s="127" t="s">
        <v>231</v>
      </c>
      <c r="K40" s="108"/>
      <c r="L40" s="125" t="s">
        <v>232</v>
      </c>
      <c r="M40" s="127" t="s">
        <v>233</v>
      </c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</row>
    <row r="41" ht="32.25" customHeight="1">
      <c r="A41" s="108"/>
      <c r="B41" s="12"/>
      <c r="C41" s="119" t="s">
        <v>234</v>
      </c>
      <c r="D41" s="128" t="s">
        <v>235</v>
      </c>
      <c r="E41" s="108"/>
      <c r="F41" s="125" t="s">
        <v>236</v>
      </c>
      <c r="G41" s="128" t="s">
        <v>237</v>
      </c>
      <c r="H41" s="108"/>
      <c r="I41" s="125" t="s">
        <v>238</v>
      </c>
      <c r="J41" s="128" t="s">
        <v>239</v>
      </c>
      <c r="K41" s="108"/>
      <c r="L41" s="125" t="s">
        <v>240</v>
      </c>
      <c r="M41" s="128" t="s">
        <v>241</v>
      </c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</row>
    <row r="42" ht="27.75" customHeight="1">
      <c r="A42" s="108"/>
      <c r="B42" s="12"/>
      <c r="C42" s="125" t="s">
        <v>242</v>
      </c>
      <c r="D42" s="126" t="s">
        <v>243</v>
      </c>
      <c r="E42" s="108"/>
      <c r="F42" s="125" t="s">
        <v>244</v>
      </c>
      <c r="G42" s="126" t="s">
        <v>245</v>
      </c>
      <c r="H42" s="108"/>
      <c r="I42" s="125" t="s">
        <v>246</v>
      </c>
      <c r="J42" s="126" t="s">
        <v>247</v>
      </c>
      <c r="K42" s="108"/>
      <c r="L42" s="125" t="s">
        <v>248</v>
      </c>
      <c r="M42" s="126" t="s">
        <v>249</v>
      </c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</row>
    <row r="43" ht="27.75" customHeight="1">
      <c r="A43" s="108"/>
      <c r="B43" s="12"/>
      <c r="C43" s="125" t="s">
        <v>250</v>
      </c>
      <c r="D43" s="126" t="s">
        <v>251</v>
      </c>
      <c r="E43" s="108"/>
      <c r="F43" s="125" t="s">
        <v>252</v>
      </c>
      <c r="G43" s="126" t="s">
        <v>253</v>
      </c>
      <c r="H43" s="108"/>
      <c r="I43" s="125" t="s">
        <v>254</v>
      </c>
      <c r="J43" s="126" t="s">
        <v>255</v>
      </c>
      <c r="K43" s="108"/>
      <c r="L43" s="125" t="s">
        <v>256</v>
      </c>
      <c r="M43" s="126" t="s">
        <v>257</v>
      </c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</row>
    <row r="44" ht="27.75" customHeight="1">
      <c r="A44" s="108"/>
      <c r="B44" s="12"/>
      <c r="C44" s="125" t="s">
        <v>258</v>
      </c>
      <c r="D44" s="126" t="s">
        <v>259</v>
      </c>
      <c r="E44" s="108"/>
      <c r="F44" s="125" t="s">
        <v>260</v>
      </c>
      <c r="G44" s="126" t="s">
        <v>261</v>
      </c>
      <c r="H44" s="108"/>
      <c r="I44" s="125" t="s">
        <v>262</v>
      </c>
      <c r="J44" s="126" t="s">
        <v>263</v>
      </c>
      <c r="K44" s="108"/>
      <c r="L44" s="125" t="s">
        <v>264</v>
      </c>
      <c r="M44" s="126" t="s">
        <v>265</v>
      </c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</row>
    <row r="45" ht="27.75" customHeight="1">
      <c r="A45" s="108"/>
      <c r="B45" s="12"/>
      <c r="C45" s="125" t="s">
        <v>266</v>
      </c>
      <c r="D45" s="126" t="s">
        <v>267</v>
      </c>
      <c r="E45" s="108"/>
      <c r="F45" s="125" t="s">
        <v>268</v>
      </c>
      <c r="G45" s="126" t="s">
        <v>269</v>
      </c>
      <c r="H45" s="108"/>
      <c r="I45" s="125" t="s">
        <v>270</v>
      </c>
      <c r="J45" s="126" t="s">
        <v>271</v>
      </c>
      <c r="K45" s="108"/>
      <c r="L45" s="125" t="s">
        <v>272</v>
      </c>
      <c r="M45" s="126" t="s">
        <v>273</v>
      </c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</row>
    <row r="46" ht="27.75" customHeight="1">
      <c r="A46" s="108"/>
      <c r="B46" s="12"/>
      <c r="C46" s="125" t="s">
        <v>274</v>
      </c>
      <c r="D46" s="126" t="s">
        <v>275</v>
      </c>
      <c r="E46" s="108"/>
      <c r="F46" s="125" t="s">
        <v>276</v>
      </c>
      <c r="G46" s="126" t="s">
        <v>277</v>
      </c>
      <c r="H46" s="108"/>
      <c r="I46" s="125" t="s">
        <v>278</v>
      </c>
      <c r="J46" s="126" t="s">
        <v>279</v>
      </c>
      <c r="K46" s="108"/>
      <c r="L46" s="125" t="s">
        <v>280</v>
      </c>
      <c r="M46" s="126" t="s">
        <v>281</v>
      </c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</row>
    <row r="47" ht="27.75" customHeight="1">
      <c r="A47" s="108"/>
      <c r="B47" s="12"/>
      <c r="C47" s="125" t="s">
        <v>282</v>
      </c>
      <c r="D47" s="126" t="s">
        <v>283</v>
      </c>
      <c r="E47" s="108"/>
      <c r="F47" s="125" t="s">
        <v>284</v>
      </c>
      <c r="G47" s="126" t="s">
        <v>285</v>
      </c>
      <c r="H47" s="108"/>
      <c r="I47" s="125" t="s">
        <v>286</v>
      </c>
      <c r="J47" s="126" t="s">
        <v>287</v>
      </c>
      <c r="K47" s="108"/>
      <c r="L47" s="125" t="s">
        <v>288</v>
      </c>
      <c r="M47" s="126" t="s">
        <v>289</v>
      </c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</row>
    <row r="48" ht="27.75" customHeight="1">
      <c r="A48" s="108"/>
      <c r="B48" s="12"/>
      <c r="C48" s="125" t="s">
        <v>290</v>
      </c>
      <c r="D48" s="126" t="s">
        <v>291</v>
      </c>
      <c r="E48" s="108"/>
      <c r="F48" s="125" t="s">
        <v>292</v>
      </c>
      <c r="G48" s="126" t="s">
        <v>293</v>
      </c>
      <c r="H48" s="108"/>
      <c r="I48" s="125" t="s">
        <v>294</v>
      </c>
      <c r="J48" s="126" t="s">
        <v>295</v>
      </c>
      <c r="K48" s="108"/>
      <c r="L48" s="125" t="s">
        <v>296</v>
      </c>
      <c r="M48" s="126" t="s">
        <v>297</v>
      </c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</row>
    <row r="49" ht="27.75" customHeight="1">
      <c r="A49" s="108"/>
      <c r="B49" s="12"/>
      <c r="C49" s="125" t="s">
        <v>298</v>
      </c>
      <c r="D49" s="126" t="s">
        <v>299</v>
      </c>
      <c r="E49" s="108"/>
      <c r="F49" s="125" t="s">
        <v>300</v>
      </c>
      <c r="G49" s="126" t="s">
        <v>301</v>
      </c>
      <c r="H49" s="108"/>
      <c r="I49" s="125" t="s">
        <v>302</v>
      </c>
      <c r="J49" s="126" t="s">
        <v>303</v>
      </c>
      <c r="K49" s="108"/>
      <c r="L49" s="125" t="s">
        <v>304</v>
      </c>
      <c r="M49" s="126" t="s">
        <v>305</v>
      </c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</row>
    <row r="50" ht="27.75" customHeight="1">
      <c r="A50" s="108"/>
      <c r="B50" s="12"/>
      <c r="C50" s="125" t="s">
        <v>306</v>
      </c>
      <c r="D50" s="126" t="s">
        <v>307</v>
      </c>
      <c r="E50" s="108"/>
      <c r="F50" s="125" t="s">
        <v>308</v>
      </c>
      <c r="G50" s="126" t="s">
        <v>309</v>
      </c>
      <c r="H50" s="108"/>
      <c r="I50" s="125" t="s">
        <v>310</v>
      </c>
      <c r="J50" s="126" t="s">
        <v>311</v>
      </c>
      <c r="K50" s="108"/>
      <c r="L50" s="125" t="s">
        <v>312</v>
      </c>
      <c r="M50" s="126" t="s">
        <v>313</v>
      </c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</row>
    <row r="51" ht="27.75" customHeight="1">
      <c r="A51" s="108"/>
      <c r="B51" s="12"/>
      <c r="C51" s="125" t="s">
        <v>314</v>
      </c>
      <c r="D51" s="126" t="s">
        <v>315</v>
      </c>
      <c r="E51" s="108"/>
      <c r="F51" s="125" t="s">
        <v>316</v>
      </c>
      <c r="G51" s="126" t="s">
        <v>317</v>
      </c>
      <c r="H51" s="108"/>
      <c r="I51" s="125" t="s">
        <v>318</v>
      </c>
      <c r="J51" s="126" t="s">
        <v>319</v>
      </c>
      <c r="K51" s="108"/>
      <c r="L51" s="125" t="s">
        <v>320</v>
      </c>
      <c r="M51" s="126" t="s">
        <v>321</v>
      </c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</row>
    <row r="52" ht="59.25" customHeight="1">
      <c r="A52" s="108"/>
      <c r="B52" s="12"/>
      <c r="C52" s="125" t="s">
        <v>322</v>
      </c>
      <c r="D52" s="127" t="s">
        <v>323</v>
      </c>
      <c r="E52" s="108"/>
      <c r="F52" s="125" t="s">
        <v>324</v>
      </c>
      <c r="G52" s="129" t="s">
        <v>325</v>
      </c>
      <c r="H52" s="108"/>
      <c r="I52" s="125" t="s">
        <v>326</v>
      </c>
      <c r="J52" s="127" t="s">
        <v>327</v>
      </c>
      <c r="K52" s="108"/>
      <c r="L52" s="125" t="s">
        <v>328</v>
      </c>
      <c r="M52" s="127" t="s">
        <v>329</v>
      </c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</row>
    <row r="53" ht="35.25" customHeight="1">
      <c r="A53" s="108"/>
      <c r="B53" s="12"/>
      <c r="C53" s="130" t="s">
        <v>330</v>
      </c>
      <c r="D53" s="119" t="s">
        <v>60</v>
      </c>
      <c r="E53" s="108"/>
      <c r="F53" s="125" t="s">
        <v>331</v>
      </c>
      <c r="G53" s="119" t="s">
        <v>60</v>
      </c>
      <c r="H53" s="108"/>
      <c r="I53" s="125" t="s">
        <v>332</v>
      </c>
      <c r="J53" s="119" t="s">
        <v>60</v>
      </c>
      <c r="K53" s="108"/>
      <c r="L53" s="125" t="s">
        <v>333</v>
      </c>
      <c r="M53" s="119" t="s">
        <v>60</v>
      </c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</row>
    <row r="54" ht="32.25" customHeight="1">
      <c r="A54" s="108"/>
      <c r="B54" s="12"/>
      <c r="C54" s="125" t="s">
        <v>334</v>
      </c>
      <c r="D54" s="119" t="s">
        <v>38</v>
      </c>
      <c r="E54" s="108"/>
      <c r="F54" s="125" t="s">
        <v>335</v>
      </c>
      <c r="G54" s="119" t="s">
        <v>38</v>
      </c>
      <c r="H54" s="108"/>
      <c r="I54" s="125" t="s">
        <v>336</v>
      </c>
      <c r="J54" s="119" t="s">
        <v>38</v>
      </c>
      <c r="K54" s="108"/>
      <c r="L54" s="125" t="s">
        <v>337</v>
      </c>
      <c r="M54" s="119" t="s">
        <v>38</v>
      </c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</row>
    <row r="55" ht="32.25" customHeight="1">
      <c r="A55" s="108"/>
      <c r="B55" s="12"/>
      <c r="C55" s="119" t="s">
        <v>338</v>
      </c>
      <c r="D55" s="131" t="s">
        <v>339</v>
      </c>
      <c r="E55" s="108"/>
      <c r="F55" s="125" t="s">
        <v>340</v>
      </c>
      <c r="G55" s="131" t="s">
        <v>339</v>
      </c>
      <c r="H55" s="108"/>
      <c r="I55" s="125" t="s">
        <v>341</v>
      </c>
      <c r="J55" s="131" t="s">
        <v>339</v>
      </c>
      <c r="K55" s="108"/>
      <c r="L55" s="125" t="s">
        <v>342</v>
      </c>
      <c r="M55" s="131" t="s">
        <v>339</v>
      </c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</row>
    <row r="56" ht="32.25" customHeight="1">
      <c r="A56" s="108"/>
      <c r="B56" s="12"/>
      <c r="C56" s="119" t="s">
        <v>343</v>
      </c>
      <c r="D56" s="119" t="s">
        <v>38</v>
      </c>
      <c r="E56" s="108"/>
      <c r="F56" s="125" t="s">
        <v>344</v>
      </c>
      <c r="G56" s="119" t="s">
        <v>38</v>
      </c>
      <c r="H56" s="108"/>
      <c r="I56" s="125" t="s">
        <v>345</v>
      </c>
      <c r="J56" s="119" t="s">
        <v>38</v>
      </c>
      <c r="K56" s="108"/>
      <c r="L56" s="125" t="s">
        <v>346</v>
      </c>
      <c r="M56" s="119" t="s">
        <v>38</v>
      </c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</row>
    <row r="57" ht="32.25" customHeight="1">
      <c r="A57" s="108"/>
      <c r="B57" s="12"/>
      <c r="C57" s="119" t="s">
        <v>347</v>
      </c>
      <c r="D57" s="131" t="s">
        <v>339</v>
      </c>
      <c r="E57" s="108"/>
      <c r="F57" s="125" t="s">
        <v>348</v>
      </c>
      <c r="G57" s="131" t="s">
        <v>339</v>
      </c>
      <c r="H57" s="108"/>
      <c r="I57" s="125" t="s">
        <v>349</v>
      </c>
      <c r="J57" s="131" t="s">
        <v>339</v>
      </c>
      <c r="K57" s="108"/>
      <c r="L57" s="125" t="s">
        <v>350</v>
      </c>
      <c r="M57" s="131" t="s">
        <v>339</v>
      </c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</row>
    <row r="58" ht="32.25" customHeight="1">
      <c r="A58" s="108"/>
      <c r="B58" s="12"/>
      <c r="C58" s="119" t="s">
        <v>351</v>
      </c>
      <c r="D58" s="119" t="s">
        <v>38</v>
      </c>
      <c r="E58" s="108"/>
      <c r="F58" s="125" t="s">
        <v>352</v>
      </c>
      <c r="G58" s="119" t="s">
        <v>38</v>
      </c>
      <c r="H58" s="108"/>
      <c r="I58" s="125" t="s">
        <v>353</v>
      </c>
      <c r="J58" s="119" t="s">
        <v>38</v>
      </c>
      <c r="K58" s="108"/>
      <c r="L58" s="125" t="s">
        <v>354</v>
      </c>
      <c r="M58" s="119" t="s">
        <v>38</v>
      </c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</row>
    <row r="59" ht="32.25" customHeight="1">
      <c r="A59" s="108"/>
      <c r="B59" s="12"/>
      <c r="C59" s="119" t="s">
        <v>355</v>
      </c>
      <c r="D59" s="131" t="s">
        <v>339</v>
      </c>
      <c r="E59" s="108"/>
      <c r="F59" s="125" t="s">
        <v>356</v>
      </c>
      <c r="G59" s="131" t="s">
        <v>339</v>
      </c>
      <c r="H59" s="108"/>
      <c r="I59" s="125" t="s">
        <v>357</v>
      </c>
      <c r="J59" s="131" t="s">
        <v>339</v>
      </c>
      <c r="K59" s="108"/>
      <c r="L59" s="125" t="s">
        <v>358</v>
      </c>
      <c r="M59" s="131" t="s">
        <v>339</v>
      </c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</row>
    <row r="60" ht="32.25" customHeight="1">
      <c r="A60" s="108"/>
      <c r="B60" s="12"/>
      <c r="C60" s="119" t="s">
        <v>359</v>
      </c>
      <c r="D60" s="119" t="s">
        <v>38</v>
      </c>
      <c r="E60" s="108"/>
      <c r="F60" s="125" t="s">
        <v>360</v>
      </c>
      <c r="G60" s="119" t="s">
        <v>38</v>
      </c>
      <c r="H60" s="108"/>
      <c r="I60" s="125" t="s">
        <v>361</v>
      </c>
      <c r="J60" s="119" t="s">
        <v>38</v>
      </c>
      <c r="K60" s="108"/>
      <c r="L60" s="125" t="s">
        <v>362</v>
      </c>
      <c r="M60" s="119" t="s">
        <v>38</v>
      </c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</row>
    <row r="61" ht="32.25" customHeight="1">
      <c r="A61" s="108"/>
      <c r="B61" s="12"/>
      <c r="C61" s="119" t="s">
        <v>363</v>
      </c>
      <c r="D61" s="131" t="s">
        <v>339</v>
      </c>
      <c r="E61" s="108"/>
      <c r="F61" s="125" t="s">
        <v>364</v>
      </c>
      <c r="G61" s="131" t="s">
        <v>339</v>
      </c>
      <c r="H61" s="108"/>
      <c r="I61" s="125" t="s">
        <v>365</v>
      </c>
      <c r="J61" s="131" t="s">
        <v>339</v>
      </c>
      <c r="K61" s="108"/>
      <c r="L61" s="125" t="s">
        <v>366</v>
      </c>
      <c r="M61" s="131" t="s">
        <v>339</v>
      </c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</row>
    <row r="62" ht="32.25" customHeight="1">
      <c r="A62" s="108"/>
      <c r="B62" s="12"/>
      <c r="C62" s="119" t="s">
        <v>367</v>
      </c>
      <c r="D62" s="119" t="s">
        <v>38</v>
      </c>
      <c r="E62" s="108"/>
      <c r="F62" s="125" t="s">
        <v>368</v>
      </c>
      <c r="G62" s="119" t="s">
        <v>38</v>
      </c>
      <c r="H62" s="108"/>
      <c r="I62" s="125" t="s">
        <v>369</v>
      </c>
      <c r="J62" s="119" t="s">
        <v>38</v>
      </c>
      <c r="K62" s="108"/>
      <c r="L62" s="125" t="s">
        <v>370</v>
      </c>
      <c r="M62" s="119" t="s">
        <v>38</v>
      </c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</row>
    <row r="63" ht="32.25" customHeight="1">
      <c r="A63" s="108"/>
      <c r="B63" s="12"/>
      <c r="C63" s="125" t="s">
        <v>371</v>
      </c>
      <c r="D63" s="131" t="s">
        <v>339</v>
      </c>
      <c r="E63" s="108"/>
      <c r="F63" s="125" t="s">
        <v>372</v>
      </c>
      <c r="G63" s="131" t="s">
        <v>339</v>
      </c>
      <c r="H63" s="108"/>
      <c r="I63" s="125" t="s">
        <v>373</v>
      </c>
      <c r="J63" s="131" t="s">
        <v>339</v>
      </c>
      <c r="K63" s="108"/>
      <c r="L63" s="125" t="s">
        <v>374</v>
      </c>
      <c r="M63" s="131" t="s">
        <v>339</v>
      </c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</row>
    <row r="64" ht="32.25" customHeight="1">
      <c r="A64" s="108"/>
      <c r="B64" s="12"/>
      <c r="C64" s="125" t="s">
        <v>375</v>
      </c>
      <c r="D64" s="119" t="s">
        <v>38</v>
      </c>
      <c r="E64" s="108"/>
      <c r="F64" s="125" t="s">
        <v>376</v>
      </c>
      <c r="G64" s="119" t="s">
        <v>38</v>
      </c>
      <c r="H64" s="108"/>
      <c r="I64" s="125" t="s">
        <v>377</v>
      </c>
      <c r="J64" s="119" t="s">
        <v>38</v>
      </c>
      <c r="K64" s="108"/>
      <c r="L64" s="125" t="s">
        <v>378</v>
      </c>
      <c r="M64" s="119" t="s">
        <v>38</v>
      </c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</row>
    <row r="65" ht="32.25" customHeight="1">
      <c r="A65" s="108"/>
      <c r="B65" s="12"/>
      <c r="C65" s="125" t="s">
        <v>379</v>
      </c>
      <c r="D65" s="131" t="s">
        <v>339</v>
      </c>
      <c r="E65" s="108"/>
      <c r="F65" s="125" t="s">
        <v>380</v>
      </c>
      <c r="G65" s="131" t="s">
        <v>339</v>
      </c>
      <c r="H65" s="108"/>
      <c r="I65" s="125" t="s">
        <v>381</v>
      </c>
      <c r="J65" s="131" t="s">
        <v>339</v>
      </c>
      <c r="K65" s="108"/>
      <c r="L65" s="125" t="s">
        <v>382</v>
      </c>
      <c r="M65" s="131" t="s">
        <v>339</v>
      </c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</row>
    <row r="66" ht="32.25" customHeight="1">
      <c r="A66" s="108"/>
      <c r="B66" s="12"/>
      <c r="C66" s="125" t="s">
        <v>383</v>
      </c>
      <c r="D66" s="119" t="s">
        <v>38</v>
      </c>
      <c r="E66" s="108"/>
      <c r="F66" s="125" t="s">
        <v>384</v>
      </c>
      <c r="G66" s="119" t="s">
        <v>38</v>
      </c>
      <c r="H66" s="108"/>
      <c r="I66" s="125" t="s">
        <v>385</v>
      </c>
      <c r="J66" s="119" t="s">
        <v>38</v>
      </c>
      <c r="K66" s="108"/>
      <c r="L66" s="125" t="s">
        <v>386</v>
      </c>
      <c r="M66" s="119" t="s">
        <v>38</v>
      </c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</row>
    <row r="67" ht="32.25" customHeight="1">
      <c r="A67" s="108"/>
      <c r="B67" s="12"/>
      <c r="C67" s="125" t="s">
        <v>387</v>
      </c>
      <c r="D67" s="131" t="s">
        <v>339</v>
      </c>
      <c r="E67" s="108"/>
      <c r="F67" s="125" t="s">
        <v>388</v>
      </c>
      <c r="G67" s="131" t="s">
        <v>339</v>
      </c>
      <c r="H67" s="108"/>
      <c r="I67" s="125" t="s">
        <v>389</v>
      </c>
      <c r="J67" s="131" t="s">
        <v>339</v>
      </c>
      <c r="K67" s="108"/>
      <c r="L67" s="125" t="s">
        <v>390</v>
      </c>
      <c r="M67" s="131" t="s">
        <v>339</v>
      </c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</row>
    <row r="68" ht="32.25" customHeight="1">
      <c r="A68" s="108"/>
      <c r="B68" s="12"/>
      <c r="C68" s="125" t="s">
        <v>391</v>
      </c>
      <c r="D68" s="119" t="s">
        <v>38</v>
      </c>
      <c r="E68" s="108"/>
      <c r="F68" s="125" t="s">
        <v>392</v>
      </c>
      <c r="G68" s="119" t="s">
        <v>38</v>
      </c>
      <c r="H68" s="108"/>
      <c r="I68" s="125" t="s">
        <v>393</v>
      </c>
      <c r="J68" s="119" t="s">
        <v>38</v>
      </c>
      <c r="K68" s="108"/>
      <c r="L68" s="125" t="s">
        <v>394</v>
      </c>
      <c r="M68" s="119" t="s">
        <v>38</v>
      </c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</row>
    <row r="69" ht="32.25" customHeight="1">
      <c r="A69" s="108"/>
      <c r="B69" s="12"/>
      <c r="C69" s="125" t="s">
        <v>395</v>
      </c>
      <c r="D69" s="131" t="s">
        <v>339</v>
      </c>
      <c r="E69" s="108"/>
      <c r="F69" s="125" t="s">
        <v>396</v>
      </c>
      <c r="G69" s="131" t="s">
        <v>339</v>
      </c>
      <c r="H69" s="108"/>
      <c r="I69" s="125" t="s">
        <v>397</v>
      </c>
      <c r="J69" s="131" t="s">
        <v>339</v>
      </c>
      <c r="K69" s="108"/>
      <c r="L69" s="125" t="s">
        <v>398</v>
      </c>
      <c r="M69" s="131" t="s">
        <v>339</v>
      </c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</row>
    <row r="70" ht="32.25" customHeight="1">
      <c r="A70" s="108"/>
      <c r="B70" s="12"/>
      <c r="C70" s="125" t="s">
        <v>399</v>
      </c>
      <c r="D70" s="119" t="s">
        <v>38</v>
      </c>
      <c r="E70" s="108"/>
      <c r="F70" s="125" t="s">
        <v>400</v>
      </c>
      <c r="G70" s="119" t="s">
        <v>38</v>
      </c>
      <c r="H70" s="108"/>
      <c r="I70" s="125" t="s">
        <v>401</v>
      </c>
      <c r="J70" s="119" t="s">
        <v>38</v>
      </c>
      <c r="K70" s="108"/>
      <c r="L70" s="125" t="s">
        <v>402</v>
      </c>
      <c r="M70" s="119" t="s">
        <v>38</v>
      </c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</row>
    <row r="71" ht="32.25" customHeight="1">
      <c r="A71" s="108"/>
      <c r="B71" s="12"/>
      <c r="C71" s="125" t="s">
        <v>403</v>
      </c>
      <c r="D71" s="131" t="s">
        <v>339</v>
      </c>
      <c r="E71" s="108"/>
      <c r="F71" s="125" t="s">
        <v>404</v>
      </c>
      <c r="G71" s="131" t="s">
        <v>339</v>
      </c>
      <c r="H71" s="108"/>
      <c r="I71" s="125" t="s">
        <v>405</v>
      </c>
      <c r="J71" s="131" t="s">
        <v>339</v>
      </c>
      <c r="K71" s="108"/>
      <c r="L71" s="125" t="s">
        <v>406</v>
      </c>
      <c r="M71" s="131" t="s">
        <v>339</v>
      </c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</row>
    <row r="72" ht="32.25" customHeight="1">
      <c r="A72" s="108"/>
      <c r="B72" s="12"/>
      <c r="C72" s="125" t="s">
        <v>407</v>
      </c>
      <c r="D72" s="119" t="s">
        <v>38</v>
      </c>
      <c r="E72" s="108"/>
      <c r="F72" s="125" t="s">
        <v>408</v>
      </c>
      <c r="G72" s="119" t="s">
        <v>38</v>
      </c>
      <c r="H72" s="108"/>
      <c r="I72" s="125" t="s">
        <v>409</v>
      </c>
      <c r="J72" s="119" t="s">
        <v>38</v>
      </c>
      <c r="K72" s="108"/>
      <c r="L72" s="125" t="s">
        <v>410</v>
      </c>
      <c r="M72" s="119" t="s">
        <v>38</v>
      </c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</row>
    <row r="73" ht="42.0" customHeight="1">
      <c r="A73" s="108"/>
      <c r="B73" s="12"/>
      <c r="C73" s="119" t="s">
        <v>411</v>
      </c>
      <c r="D73" s="128" t="s">
        <v>412</v>
      </c>
      <c r="E73" s="108"/>
      <c r="F73" s="125" t="s">
        <v>413</v>
      </c>
      <c r="G73" s="128" t="s">
        <v>414</v>
      </c>
      <c r="H73" s="108"/>
      <c r="I73" s="125" t="s">
        <v>415</v>
      </c>
      <c r="J73" s="128" t="s">
        <v>416</v>
      </c>
      <c r="K73" s="108"/>
      <c r="L73" s="125" t="s">
        <v>417</v>
      </c>
      <c r="M73" s="128" t="s">
        <v>418</v>
      </c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</row>
    <row r="74" ht="42.0" customHeight="1">
      <c r="A74" s="108"/>
      <c r="B74" s="12"/>
      <c r="C74" s="119" t="s">
        <v>419</v>
      </c>
      <c r="D74" s="119" t="s">
        <v>420</v>
      </c>
      <c r="E74" s="108"/>
      <c r="F74" s="125" t="s">
        <v>421</v>
      </c>
      <c r="G74" s="119" t="s">
        <v>422</v>
      </c>
      <c r="H74" s="108"/>
      <c r="I74" s="125" t="s">
        <v>423</v>
      </c>
      <c r="J74" s="119" t="s">
        <v>424</v>
      </c>
      <c r="K74" s="108"/>
      <c r="L74" s="125" t="s">
        <v>425</v>
      </c>
      <c r="M74" s="119" t="s">
        <v>426</v>
      </c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</row>
    <row r="75" ht="42.0" customHeight="1">
      <c r="A75" s="108"/>
      <c r="B75" s="12"/>
      <c r="C75" s="119" t="s">
        <v>427</v>
      </c>
      <c r="D75" s="119" t="s">
        <v>428</v>
      </c>
      <c r="E75" s="108"/>
      <c r="F75" s="125" t="s">
        <v>429</v>
      </c>
      <c r="G75" s="119" t="s">
        <v>430</v>
      </c>
      <c r="H75" s="108"/>
      <c r="I75" s="125" t="s">
        <v>431</v>
      </c>
      <c r="J75" s="119" t="s">
        <v>432</v>
      </c>
      <c r="K75" s="108"/>
      <c r="L75" s="125" t="s">
        <v>433</v>
      </c>
      <c r="M75" s="119" t="s">
        <v>434</v>
      </c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</row>
    <row r="76" ht="42.0" customHeight="1">
      <c r="A76" s="108"/>
      <c r="B76" s="12"/>
      <c r="C76" s="119" t="s">
        <v>435</v>
      </c>
      <c r="D76" s="119" t="s">
        <v>115</v>
      </c>
      <c r="E76" s="108"/>
      <c r="F76" s="125" t="s">
        <v>436</v>
      </c>
      <c r="G76" s="119" t="s">
        <v>115</v>
      </c>
      <c r="H76" s="108"/>
      <c r="I76" s="125" t="s">
        <v>437</v>
      </c>
      <c r="J76" s="119" t="s">
        <v>115</v>
      </c>
      <c r="K76" s="108"/>
      <c r="L76" s="125" t="s">
        <v>438</v>
      </c>
      <c r="M76" s="119" t="s">
        <v>115</v>
      </c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</row>
    <row r="77" ht="42.0" customHeight="1">
      <c r="A77" s="108"/>
      <c r="B77" s="12"/>
      <c r="C77" s="119" t="s">
        <v>439</v>
      </c>
      <c r="D77" s="119" t="s">
        <v>440</v>
      </c>
      <c r="E77" s="108"/>
      <c r="F77" s="125" t="s">
        <v>441</v>
      </c>
      <c r="G77" s="119" t="s">
        <v>440</v>
      </c>
      <c r="H77" s="108"/>
      <c r="I77" s="125" t="s">
        <v>442</v>
      </c>
      <c r="J77" s="119" t="s">
        <v>440</v>
      </c>
      <c r="K77" s="108"/>
      <c r="L77" s="125" t="s">
        <v>443</v>
      </c>
      <c r="M77" s="119" t="s">
        <v>440</v>
      </c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</row>
    <row r="78" ht="42.0" customHeight="1">
      <c r="A78" s="108"/>
      <c r="B78" s="18"/>
      <c r="C78" s="119" t="s">
        <v>444</v>
      </c>
      <c r="D78" s="127" t="s">
        <v>445</v>
      </c>
      <c r="E78" s="108"/>
      <c r="F78" s="125" t="s">
        <v>446</v>
      </c>
      <c r="G78" s="127" t="s">
        <v>447</v>
      </c>
      <c r="H78" s="108"/>
      <c r="I78" s="125" t="s">
        <v>448</v>
      </c>
      <c r="J78" s="127" t="s">
        <v>449</v>
      </c>
      <c r="K78" s="108"/>
      <c r="L78" s="125" t="s">
        <v>450</v>
      </c>
      <c r="M78" s="127" t="s">
        <v>451</v>
      </c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</row>
    <row r="79" ht="82.5" customHeight="1">
      <c r="A79" s="108"/>
      <c r="B79" s="108"/>
      <c r="C79" s="108"/>
      <c r="D79" s="132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</row>
    <row r="80">
      <c r="A80" s="108"/>
      <c r="B80" s="109" t="s">
        <v>452</v>
      </c>
      <c r="C80" s="124" t="s">
        <v>453</v>
      </c>
      <c r="D80" s="4"/>
      <c r="E80" s="108"/>
      <c r="F80" s="124" t="s">
        <v>454</v>
      </c>
      <c r="G80" s="4"/>
      <c r="H80" s="108"/>
      <c r="I80" s="124" t="s">
        <v>455</v>
      </c>
      <c r="J80" s="4"/>
      <c r="K80" s="108"/>
      <c r="L80" s="124" t="s">
        <v>456</v>
      </c>
      <c r="M80" s="4"/>
      <c r="N80" s="108"/>
      <c r="O80" s="124" t="s">
        <v>457</v>
      </c>
      <c r="P80" s="4"/>
      <c r="Q80" s="133"/>
      <c r="R80" s="124" t="s">
        <v>458</v>
      </c>
      <c r="S80" s="4"/>
      <c r="T80" s="133"/>
      <c r="U80" s="124" t="s">
        <v>459</v>
      </c>
      <c r="V80" s="4"/>
      <c r="W80" s="134"/>
    </row>
    <row r="81" ht="20.25" customHeight="1">
      <c r="A81" s="108"/>
      <c r="B81" s="12"/>
      <c r="C81" s="110" t="s">
        <v>460</v>
      </c>
      <c r="D81" s="110" t="s">
        <v>461</v>
      </c>
      <c r="E81" s="108"/>
      <c r="F81" s="110" t="s">
        <v>460</v>
      </c>
      <c r="G81" s="110" t="s">
        <v>461</v>
      </c>
      <c r="H81" s="108"/>
      <c r="I81" s="110" t="s">
        <v>460</v>
      </c>
      <c r="J81" s="110" t="s">
        <v>461</v>
      </c>
      <c r="K81" s="108"/>
      <c r="L81" s="110" t="s">
        <v>460</v>
      </c>
      <c r="M81" s="110" t="s">
        <v>461</v>
      </c>
      <c r="N81" s="108"/>
      <c r="O81" s="110" t="s">
        <v>460</v>
      </c>
      <c r="P81" s="110" t="s">
        <v>461</v>
      </c>
      <c r="Q81" s="134"/>
      <c r="R81" s="110" t="s">
        <v>460</v>
      </c>
      <c r="S81" s="110" t="s">
        <v>461</v>
      </c>
      <c r="T81" s="134"/>
      <c r="U81" s="110" t="s">
        <v>460</v>
      </c>
      <c r="V81" s="110" t="s">
        <v>461</v>
      </c>
      <c r="W81" s="134"/>
      <c r="X81" s="134"/>
      <c r="Y81" s="134"/>
    </row>
    <row r="82" ht="80.25" customHeight="1">
      <c r="A82" s="108"/>
      <c r="B82" s="12"/>
      <c r="C82" s="119" t="s">
        <v>462</v>
      </c>
      <c r="D82" s="126" t="s">
        <v>463</v>
      </c>
      <c r="E82" s="108"/>
      <c r="F82" s="125" t="s">
        <v>464</v>
      </c>
      <c r="G82" s="126" t="s">
        <v>465</v>
      </c>
      <c r="H82" s="108"/>
      <c r="I82" s="125" t="s">
        <v>466</v>
      </c>
      <c r="J82" s="126" t="s">
        <v>467</v>
      </c>
      <c r="K82" s="108"/>
      <c r="L82" s="125" t="s">
        <v>468</v>
      </c>
      <c r="M82" s="126" t="s">
        <v>469</v>
      </c>
      <c r="N82" s="108"/>
      <c r="O82" s="125" t="s">
        <v>470</v>
      </c>
      <c r="P82" s="126" t="s">
        <v>471</v>
      </c>
      <c r="Q82" s="135"/>
      <c r="R82" s="125" t="s">
        <v>472</v>
      </c>
      <c r="S82" s="126" t="s">
        <v>473</v>
      </c>
      <c r="T82" s="135"/>
      <c r="U82" s="125" t="s">
        <v>474</v>
      </c>
      <c r="V82" s="126" t="s">
        <v>475</v>
      </c>
      <c r="W82" s="108"/>
      <c r="X82" s="108"/>
      <c r="Y82" s="108"/>
    </row>
    <row r="83" ht="39.0" customHeight="1">
      <c r="A83" s="108"/>
      <c r="B83" s="12"/>
      <c r="C83" s="119" t="s">
        <v>476</v>
      </c>
      <c r="D83" s="127" t="s">
        <v>477</v>
      </c>
      <c r="E83" s="108"/>
      <c r="F83" s="125" t="s">
        <v>478</v>
      </c>
      <c r="G83" s="127" t="s">
        <v>479</v>
      </c>
      <c r="H83" s="108"/>
      <c r="I83" s="125" t="s">
        <v>480</v>
      </c>
      <c r="J83" s="127" t="s">
        <v>481</v>
      </c>
      <c r="K83" s="108"/>
      <c r="L83" s="125" t="s">
        <v>482</v>
      </c>
      <c r="M83" s="127" t="s">
        <v>483</v>
      </c>
      <c r="N83" s="108"/>
      <c r="O83" s="125" t="s">
        <v>484</v>
      </c>
      <c r="P83" s="127" t="s">
        <v>485</v>
      </c>
      <c r="Q83" s="135"/>
      <c r="R83" s="125" t="s">
        <v>486</v>
      </c>
      <c r="S83" s="127" t="s">
        <v>487</v>
      </c>
      <c r="T83" s="135"/>
      <c r="U83" s="125" t="s">
        <v>488</v>
      </c>
      <c r="V83" s="127" t="s">
        <v>489</v>
      </c>
      <c r="W83" s="108"/>
      <c r="X83" s="132"/>
      <c r="Y83" s="108"/>
    </row>
    <row r="84">
      <c r="A84" s="108"/>
      <c r="B84" s="12"/>
      <c r="C84" s="119" t="s">
        <v>490</v>
      </c>
      <c r="D84" s="127" t="s">
        <v>60</v>
      </c>
      <c r="E84" s="108"/>
      <c r="F84" s="125" t="s">
        <v>491</v>
      </c>
      <c r="G84" s="127" t="s">
        <v>60</v>
      </c>
      <c r="H84" s="108"/>
      <c r="I84" s="125" t="s">
        <v>492</v>
      </c>
      <c r="J84" s="127" t="s">
        <v>60</v>
      </c>
      <c r="K84" s="108"/>
      <c r="L84" s="125" t="s">
        <v>493</v>
      </c>
      <c r="M84" s="127" t="s">
        <v>60</v>
      </c>
      <c r="N84" s="108"/>
      <c r="O84" s="125" t="s">
        <v>494</v>
      </c>
      <c r="P84" s="127" t="s">
        <v>60</v>
      </c>
      <c r="Q84" s="135"/>
      <c r="R84" s="125" t="s">
        <v>495</v>
      </c>
      <c r="S84" s="127" t="s">
        <v>60</v>
      </c>
      <c r="T84" s="135"/>
      <c r="U84" s="125" t="s">
        <v>496</v>
      </c>
      <c r="V84" s="127" t="s">
        <v>60</v>
      </c>
      <c r="W84" s="108"/>
      <c r="X84" s="132"/>
      <c r="Y84" s="108"/>
    </row>
    <row r="85">
      <c r="A85" s="108"/>
      <c r="B85" s="12"/>
      <c r="C85" s="119" t="s">
        <v>497</v>
      </c>
      <c r="D85" s="119" t="s">
        <v>38</v>
      </c>
      <c r="E85" s="108"/>
      <c r="F85" s="125" t="s">
        <v>498</v>
      </c>
      <c r="G85" s="119" t="s">
        <v>38</v>
      </c>
      <c r="H85" s="108"/>
      <c r="I85" s="125" t="s">
        <v>499</v>
      </c>
      <c r="J85" s="119" t="s">
        <v>38</v>
      </c>
      <c r="K85" s="108"/>
      <c r="L85" s="125" t="s">
        <v>500</v>
      </c>
      <c r="M85" s="119" t="s">
        <v>38</v>
      </c>
      <c r="N85" s="108"/>
      <c r="O85" s="125" t="s">
        <v>501</v>
      </c>
      <c r="P85" s="119" t="s">
        <v>38</v>
      </c>
      <c r="Q85" s="135"/>
      <c r="R85" s="125" t="s">
        <v>502</v>
      </c>
      <c r="S85" s="119" t="s">
        <v>38</v>
      </c>
      <c r="T85" s="135"/>
      <c r="U85" s="125" t="s">
        <v>503</v>
      </c>
      <c r="V85" s="119" t="s">
        <v>38</v>
      </c>
      <c r="W85" s="108"/>
      <c r="X85" s="108"/>
      <c r="Y85" s="108"/>
    </row>
    <row r="86" ht="47.25" customHeight="1">
      <c r="A86" s="108"/>
      <c r="B86" s="12"/>
      <c r="C86" s="119" t="s">
        <v>504</v>
      </c>
      <c r="D86" s="119" t="s">
        <v>505</v>
      </c>
      <c r="E86" s="108"/>
      <c r="F86" s="125" t="s">
        <v>506</v>
      </c>
      <c r="G86" s="119" t="s">
        <v>507</v>
      </c>
      <c r="H86" s="108"/>
      <c r="I86" s="125" t="s">
        <v>508</v>
      </c>
      <c r="J86" s="119" t="s">
        <v>509</v>
      </c>
      <c r="K86" s="108"/>
      <c r="L86" s="125" t="s">
        <v>510</v>
      </c>
      <c r="M86" s="119" t="s">
        <v>511</v>
      </c>
      <c r="N86" s="108"/>
      <c r="O86" s="125" t="s">
        <v>512</v>
      </c>
      <c r="P86" s="119" t="s">
        <v>513</v>
      </c>
      <c r="Q86" s="135"/>
      <c r="R86" s="125" t="s">
        <v>514</v>
      </c>
      <c r="S86" s="119" t="s">
        <v>515</v>
      </c>
      <c r="T86" s="135"/>
      <c r="U86" s="125" t="s">
        <v>516</v>
      </c>
      <c r="V86" s="119" t="s">
        <v>517</v>
      </c>
      <c r="W86" s="108"/>
      <c r="X86" s="108"/>
      <c r="Y86" s="108"/>
    </row>
    <row r="87" ht="63.0" customHeight="1">
      <c r="A87" s="108"/>
      <c r="B87" s="12"/>
      <c r="C87" s="119" t="s">
        <v>518</v>
      </c>
      <c r="D87" s="126" t="s">
        <v>519</v>
      </c>
      <c r="E87" s="108"/>
      <c r="F87" s="125" t="s">
        <v>520</v>
      </c>
      <c r="G87" s="126" t="s">
        <v>521</v>
      </c>
      <c r="H87" s="108"/>
      <c r="I87" s="125" t="s">
        <v>522</v>
      </c>
      <c r="J87" s="126" t="s">
        <v>523</v>
      </c>
      <c r="K87" s="108"/>
      <c r="L87" s="125" t="s">
        <v>524</v>
      </c>
      <c r="M87" s="126" t="s">
        <v>525</v>
      </c>
      <c r="N87" s="108"/>
      <c r="O87" s="125" t="s">
        <v>526</v>
      </c>
      <c r="P87" s="126" t="s">
        <v>527</v>
      </c>
      <c r="Q87" s="135"/>
      <c r="R87" s="125" t="s">
        <v>528</v>
      </c>
      <c r="S87" s="126" t="s">
        <v>529</v>
      </c>
      <c r="T87" s="135"/>
      <c r="U87" s="125" t="s">
        <v>530</v>
      </c>
      <c r="V87" s="126" t="s">
        <v>531</v>
      </c>
      <c r="W87" s="108"/>
      <c r="X87" s="132"/>
      <c r="Y87" s="108"/>
    </row>
    <row r="88" ht="39.0" customHeight="1">
      <c r="A88" s="108"/>
      <c r="B88" s="12"/>
      <c r="C88" s="119" t="s">
        <v>532</v>
      </c>
      <c r="D88" s="119" t="s">
        <v>533</v>
      </c>
      <c r="E88" s="108"/>
      <c r="F88" s="125" t="s">
        <v>534</v>
      </c>
      <c r="G88" s="119" t="s">
        <v>535</v>
      </c>
      <c r="H88" s="108"/>
      <c r="I88" s="125" t="s">
        <v>536</v>
      </c>
      <c r="J88" s="119" t="s">
        <v>537</v>
      </c>
      <c r="K88" s="108"/>
      <c r="L88" s="125" t="s">
        <v>538</v>
      </c>
      <c r="M88" s="119" t="s">
        <v>539</v>
      </c>
      <c r="N88" s="108"/>
      <c r="O88" s="125" t="s">
        <v>540</v>
      </c>
      <c r="P88" s="119" t="s">
        <v>541</v>
      </c>
      <c r="Q88" s="135"/>
      <c r="R88" s="125" t="s">
        <v>542</v>
      </c>
      <c r="S88" s="119" t="s">
        <v>543</v>
      </c>
      <c r="T88" s="135"/>
      <c r="U88" s="125" t="s">
        <v>544</v>
      </c>
      <c r="V88" s="119" t="s">
        <v>545</v>
      </c>
      <c r="W88" s="108"/>
      <c r="X88" s="108"/>
      <c r="Y88" s="108"/>
    </row>
    <row r="89" ht="47.25" customHeight="1">
      <c r="A89" s="108"/>
      <c r="B89" s="18"/>
      <c r="C89" s="119" t="s">
        <v>546</v>
      </c>
      <c r="D89" s="129" t="s">
        <v>547</v>
      </c>
      <c r="E89" s="108"/>
      <c r="F89" s="125" t="s">
        <v>548</v>
      </c>
      <c r="G89" s="129" t="s">
        <v>549</v>
      </c>
      <c r="H89" s="108"/>
      <c r="I89" s="125" t="s">
        <v>550</v>
      </c>
      <c r="J89" s="129" t="s">
        <v>551</v>
      </c>
      <c r="K89" s="108"/>
      <c r="L89" s="125" t="s">
        <v>552</v>
      </c>
      <c r="M89" s="129" t="s">
        <v>553</v>
      </c>
      <c r="N89" s="108"/>
      <c r="O89" s="125" t="s">
        <v>554</v>
      </c>
      <c r="P89" s="129" t="s">
        <v>555</v>
      </c>
      <c r="Q89" s="135"/>
      <c r="R89" s="125" t="s">
        <v>556</v>
      </c>
      <c r="S89" s="129" t="s">
        <v>557</v>
      </c>
      <c r="T89" s="135"/>
      <c r="U89" s="125" t="s">
        <v>558</v>
      </c>
      <c r="V89" s="129" t="s">
        <v>559</v>
      </c>
      <c r="W89" s="108"/>
      <c r="X89" s="132"/>
      <c r="Y89" s="108"/>
    </row>
    <row r="90" ht="60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</row>
    <row r="91" ht="19.5" customHeight="1">
      <c r="A91" s="108"/>
      <c r="B91" s="109" t="s">
        <v>560</v>
      </c>
      <c r="C91" s="110" t="s">
        <v>460</v>
      </c>
      <c r="D91" s="110" t="s">
        <v>461</v>
      </c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</row>
    <row r="92" ht="33.75" customHeight="1">
      <c r="A92" s="108"/>
      <c r="B92" s="12"/>
      <c r="C92" s="125" t="s">
        <v>561</v>
      </c>
      <c r="D92" s="125" t="s">
        <v>562</v>
      </c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</row>
    <row r="93" ht="33.75" customHeight="1">
      <c r="A93" s="108"/>
      <c r="B93" s="12"/>
      <c r="C93" s="125" t="s">
        <v>563</v>
      </c>
      <c r="D93" s="125" t="s">
        <v>564</v>
      </c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</row>
    <row r="94" ht="33.75" customHeight="1">
      <c r="A94" s="108"/>
      <c r="B94" s="12"/>
      <c r="C94" s="125" t="s">
        <v>565</v>
      </c>
      <c r="D94" s="125" t="s">
        <v>566</v>
      </c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</row>
    <row r="95" ht="33.75" customHeight="1">
      <c r="A95" s="108"/>
      <c r="B95" s="18"/>
      <c r="C95" s="125" t="s">
        <v>567</v>
      </c>
      <c r="D95" s="125" t="s">
        <v>568</v>
      </c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</row>
    <row r="96" ht="50.2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</row>
    <row r="97">
      <c r="A97" s="108"/>
      <c r="B97" s="109" t="s">
        <v>569</v>
      </c>
      <c r="C97" s="110" t="s">
        <v>570</v>
      </c>
      <c r="D97" s="110" t="s">
        <v>461</v>
      </c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</row>
    <row r="98">
      <c r="A98" s="108"/>
      <c r="B98" s="12"/>
      <c r="C98" s="125" t="s">
        <v>571</v>
      </c>
      <c r="D98" s="125" t="s">
        <v>572</v>
      </c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</row>
    <row r="99">
      <c r="A99" s="108"/>
      <c r="B99" s="12"/>
      <c r="C99" s="125" t="s">
        <v>573</v>
      </c>
      <c r="D99" s="125" t="s">
        <v>574</v>
      </c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</row>
    <row r="100">
      <c r="A100" s="108"/>
      <c r="B100" s="18"/>
      <c r="C100" s="125" t="s">
        <v>575</v>
      </c>
      <c r="D100" s="126" t="s">
        <v>576</v>
      </c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</row>
    <row r="10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</row>
    <row r="102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</row>
    <row r="103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</row>
    <row r="104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</row>
    <row r="10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</row>
    <row r="106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</row>
    <row r="107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</row>
    <row r="108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</row>
    <row r="109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</row>
    <row r="110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</row>
    <row r="11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</row>
    <row r="11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</row>
    <row r="113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</row>
    <row r="114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</row>
    <row r="11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</row>
    <row r="116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</row>
    <row r="117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</row>
    <row r="118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</row>
    <row r="119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</row>
    <row r="120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</row>
    <row r="12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</row>
    <row r="124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</row>
    <row r="140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</row>
    <row r="20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</row>
    <row r="20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</row>
    <row r="20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</row>
    <row r="204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</row>
    <row r="20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</row>
    <row r="206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</row>
    <row r="207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</row>
    <row r="208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</row>
    <row r="209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</row>
    <row r="210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</row>
    <row r="2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</row>
    <row r="2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</row>
    <row r="213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</row>
    <row r="214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</row>
    <row r="21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</row>
    <row r="216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</row>
    <row r="217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</row>
    <row r="218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</row>
    <row r="219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</row>
    <row r="220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</row>
    <row r="22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</row>
    <row r="222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</row>
    <row r="223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</row>
    <row r="224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</row>
    <row r="2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</row>
    <row r="226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</row>
    <row r="227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</row>
    <row r="228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</row>
    <row r="229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</row>
    <row r="230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</row>
    <row r="23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</row>
    <row r="232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</row>
    <row r="233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</row>
    <row r="234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</row>
    <row r="23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</row>
    <row r="236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</row>
    <row r="237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</row>
    <row r="238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</row>
    <row r="239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</row>
    <row r="240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</row>
    <row r="24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</row>
    <row r="242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</row>
    <row r="243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</row>
    <row r="244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</row>
    <row r="24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</row>
    <row r="246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</row>
    <row r="247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</row>
    <row r="248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</row>
    <row r="249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</row>
    <row r="250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</row>
    <row r="25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</row>
    <row r="252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</row>
    <row r="253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</row>
    <row r="254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</row>
    <row r="25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</row>
    <row r="256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</row>
    <row r="257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</row>
    <row r="258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</row>
    <row r="259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</row>
    <row r="260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</row>
    <row r="26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</row>
    <row r="262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</row>
    <row r="263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</row>
    <row r="264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</row>
    <row r="26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</row>
    <row r="266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</row>
    <row r="267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</row>
    <row r="268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</row>
    <row r="269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</row>
    <row r="270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</row>
    <row r="27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</row>
    <row r="272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</row>
    <row r="273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</row>
    <row r="274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</row>
    <row r="27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</row>
    <row r="276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</row>
    <row r="277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</row>
    <row r="278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</row>
    <row r="279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</row>
    <row r="280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</row>
    <row r="28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</row>
    <row r="282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</row>
    <row r="283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</row>
    <row r="284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</row>
    <row r="28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</row>
    <row r="286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</row>
    <row r="287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</row>
    <row r="288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</row>
    <row r="289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</row>
    <row r="290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</row>
    <row r="29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</row>
    <row r="292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</row>
    <row r="293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</row>
    <row r="294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</row>
    <row r="29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</row>
    <row r="296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</row>
    <row r="297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</row>
    <row r="298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</row>
    <row r="299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</row>
    <row r="300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</row>
    <row r="30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</row>
    <row r="302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</row>
    <row r="303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</row>
    <row r="304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</row>
    <row r="30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</row>
    <row r="306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</row>
    <row r="307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</row>
    <row r="308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</row>
    <row r="309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</row>
    <row r="310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</row>
    <row r="31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</row>
    <row r="312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</row>
    <row r="313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</row>
    <row r="314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</row>
    <row r="31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</row>
    <row r="316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</row>
    <row r="317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</row>
    <row r="318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</row>
    <row r="319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</row>
    <row r="320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</row>
    <row r="32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</row>
    <row r="322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</row>
    <row r="323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</row>
    <row r="324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</row>
    <row r="3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</row>
    <row r="326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</row>
    <row r="327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</row>
    <row r="328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</row>
    <row r="329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</row>
    <row r="330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</row>
    <row r="33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</row>
    <row r="332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</row>
    <row r="333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</row>
    <row r="334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</row>
    <row r="33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</row>
    <row r="336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</row>
    <row r="337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</row>
    <row r="338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</row>
    <row r="339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</row>
    <row r="340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</row>
    <row r="34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</row>
    <row r="342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</row>
    <row r="343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</row>
    <row r="344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</row>
    <row r="34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</row>
    <row r="346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</row>
    <row r="347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</row>
    <row r="348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</row>
    <row r="349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</row>
    <row r="350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</row>
    <row r="35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</row>
    <row r="352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</row>
    <row r="353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</row>
    <row r="354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</row>
    <row r="35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</row>
    <row r="356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</row>
    <row r="357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</row>
    <row r="358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</row>
    <row r="359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</row>
    <row r="360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</row>
    <row r="36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</row>
    <row r="362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</row>
    <row r="363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</row>
    <row r="364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</row>
    <row r="36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</row>
    <row r="366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</row>
    <row r="367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</row>
    <row r="368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</row>
    <row r="369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</row>
    <row r="370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</row>
    <row r="37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</row>
    <row r="372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</row>
    <row r="373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</row>
    <row r="374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</row>
    <row r="37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</row>
    <row r="376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</row>
    <row r="377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</row>
    <row r="378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</row>
    <row r="379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</row>
    <row r="380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</row>
    <row r="38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</row>
    <row r="382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</row>
    <row r="383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</row>
    <row r="384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</row>
    <row r="38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</row>
    <row r="386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</row>
    <row r="387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</row>
    <row r="388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</row>
    <row r="389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</row>
    <row r="390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</row>
    <row r="39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</row>
    <row r="392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</row>
    <row r="393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</row>
    <row r="394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</row>
    <row r="39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</row>
    <row r="396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</row>
    <row r="397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</row>
    <row r="398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</row>
    <row r="399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</row>
    <row r="400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</row>
    <row r="40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</row>
    <row r="402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</row>
    <row r="403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</row>
    <row r="404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</row>
    <row r="40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</row>
    <row r="406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</row>
    <row r="407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</row>
    <row r="408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</row>
    <row r="409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</row>
    <row r="410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</row>
    <row r="41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</row>
    <row r="412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</row>
    <row r="413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</row>
    <row r="414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</row>
    <row r="41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</row>
    <row r="416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</row>
    <row r="100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</row>
    <row r="1002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</row>
    <row r="1003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</row>
    <row r="1004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</row>
    <row r="1005">
      <c r="A1005" s="108"/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</row>
    <row r="1006">
      <c r="A1006" s="108"/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</row>
    <row r="1007">
      <c r="A1007" s="108"/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</row>
    <row r="1008">
      <c r="A1008" s="108"/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</row>
    <row r="1009">
      <c r="A1009" s="108"/>
      <c r="B1009" s="108"/>
      <c r="C1009" s="108"/>
      <c r="D1009" s="108"/>
      <c r="E1009" s="108"/>
      <c r="F1009" s="108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8"/>
      <c r="V1009" s="108"/>
      <c r="W1009" s="108"/>
      <c r="X1009" s="108"/>
      <c r="Y1009" s="108"/>
    </row>
    <row r="1010">
      <c r="A1010" s="108"/>
      <c r="B1010" s="108"/>
      <c r="C1010" s="108"/>
      <c r="D1010" s="108"/>
      <c r="E1010" s="108"/>
      <c r="F1010" s="108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108"/>
    </row>
    <row r="1011">
      <c r="A1011" s="108"/>
      <c r="B1011" s="108"/>
      <c r="C1011" s="108"/>
      <c r="D1011" s="108"/>
      <c r="E1011" s="108"/>
      <c r="F1011" s="108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</row>
    <row r="1012">
      <c r="A1012" s="108"/>
      <c r="B1012" s="108"/>
      <c r="C1012" s="108"/>
      <c r="D1012" s="108"/>
      <c r="E1012" s="108"/>
      <c r="F1012" s="108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108"/>
    </row>
    <row r="1013">
      <c r="A1013" s="108"/>
      <c r="B1013" s="108"/>
      <c r="C1013" s="108"/>
      <c r="D1013" s="108"/>
      <c r="E1013" s="108"/>
      <c r="F1013" s="108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8"/>
      <c r="V1013" s="108"/>
      <c r="W1013" s="108"/>
      <c r="X1013" s="108"/>
      <c r="Y1013" s="108"/>
    </row>
  </sheetData>
  <mergeCells count="18">
    <mergeCell ref="B80:B89"/>
    <mergeCell ref="C80:D80"/>
    <mergeCell ref="B97:B100"/>
    <mergeCell ref="B91:B95"/>
    <mergeCell ref="F80:G80"/>
    <mergeCell ref="I80:J80"/>
    <mergeCell ref="L80:M80"/>
    <mergeCell ref="O80:P80"/>
    <mergeCell ref="R80:S80"/>
    <mergeCell ref="U80:V80"/>
    <mergeCell ref="W80:Y80"/>
    <mergeCell ref="B3:B12"/>
    <mergeCell ref="B15:B30"/>
    <mergeCell ref="B37:B78"/>
    <mergeCell ref="C37:D37"/>
    <mergeCell ref="F37:G37"/>
    <mergeCell ref="I37:J37"/>
    <mergeCell ref="L37:M37"/>
  </mergeCell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8"/>
    <hyperlink r:id="rId11" ref="D20"/>
    <hyperlink r:id="rId12" ref="D21"/>
    <hyperlink r:id="rId13" ref="D22"/>
    <hyperlink r:id="rId14" ref="D24"/>
    <hyperlink r:id="rId15" ref="D26"/>
    <hyperlink r:id="rId16" ref="D28"/>
    <hyperlink r:id="rId17" ref="D30"/>
    <hyperlink r:id="rId18" ref="D39"/>
    <hyperlink r:id="rId19" ref="G39"/>
    <hyperlink r:id="rId20" ref="J39"/>
    <hyperlink r:id="rId21" ref="M39"/>
    <hyperlink r:id="rId22" ref="D40"/>
    <hyperlink r:id="rId23" ref="G40"/>
    <hyperlink r:id="rId24" ref="J40"/>
    <hyperlink r:id="rId25" ref="M40"/>
    <hyperlink r:id="rId26" ref="D41"/>
    <hyperlink r:id="rId27" ref="G41"/>
    <hyperlink r:id="rId28" ref="J41"/>
    <hyperlink r:id="rId29" ref="M41"/>
    <hyperlink r:id="rId30" ref="D42"/>
    <hyperlink r:id="rId31" ref="G42"/>
    <hyperlink r:id="rId32" ref="J42"/>
    <hyperlink r:id="rId33" ref="M42"/>
    <hyperlink r:id="rId34" ref="D43"/>
    <hyperlink r:id="rId35" ref="G43"/>
    <hyperlink r:id="rId36" ref="J43"/>
    <hyperlink r:id="rId37" ref="M43"/>
    <hyperlink r:id="rId38" ref="D44"/>
    <hyperlink r:id="rId39" ref="G44"/>
    <hyperlink r:id="rId40" ref="J44"/>
    <hyperlink r:id="rId41" ref="M44"/>
    <hyperlink r:id="rId42" ref="D45"/>
    <hyperlink r:id="rId43" ref="G45"/>
    <hyperlink r:id="rId44" ref="J45"/>
    <hyperlink r:id="rId45" ref="M45"/>
    <hyperlink r:id="rId46" ref="D46"/>
    <hyperlink r:id="rId47" ref="G46"/>
    <hyperlink r:id="rId48" ref="J46"/>
    <hyperlink r:id="rId49" ref="M46"/>
    <hyperlink r:id="rId50" ref="D47"/>
    <hyperlink r:id="rId51" ref="G47"/>
    <hyperlink r:id="rId52" ref="J47"/>
    <hyperlink r:id="rId53" ref="M47"/>
    <hyperlink r:id="rId54" ref="D48"/>
    <hyperlink r:id="rId55" ref="G48"/>
    <hyperlink r:id="rId56" ref="J48"/>
    <hyperlink r:id="rId57" ref="M48"/>
    <hyperlink r:id="rId58" ref="D49"/>
    <hyperlink r:id="rId59" ref="G49"/>
    <hyperlink r:id="rId60" ref="J49"/>
    <hyperlink r:id="rId61" ref="M49"/>
    <hyperlink r:id="rId62" ref="D50"/>
    <hyperlink r:id="rId63" ref="G50"/>
    <hyperlink r:id="rId64" ref="J50"/>
    <hyperlink r:id="rId65" ref="M50"/>
    <hyperlink r:id="rId66" ref="D51"/>
    <hyperlink r:id="rId67" ref="G51"/>
    <hyperlink r:id="rId68" ref="J51"/>
    <hyperlink r:id="rId69" ref="M51"/>
    <hyperlink r:id="rId70" ref="D52"/>
    <hyperlink r:id="rId71" ref="G52"/>
    <hyperlink r:id="rId72" ref="J52"/>
    <hyperlink r:id="rId73" ref="M52"/>
    <hyperlink r:id="rId74" ref="D73"/>
    <hyperlink r:id="rId75" ref="G73"/>
    <hyperlink r:id="rId76" ref="J73"/>
    <hyperlink r:id="rId77" ref="M73"/>
    <hyperlink r:id="rId78" ref="D78"/>
    <hyperlink r:id="rId79" ref="G78"/>
    <hyperlink r:id="rId80" ref="J78"/>
    <hyperlink r:id="rId81" ref="M78"/>
    <hyperlink r:id="rId82" ref="D82"/>
    <hyperlink r:id="rId83" ref="G82"/>
    <hyperlink r:id="rId84" ref="J82"/>
    <hyperlink r:id="rId85" ref="M82"/>
    <hyperlink r:id="rId86" ref="P82"/>
    <hyperlink r:id="rId87" ref="S82"/>
    <hyperlink r:id="rId88" ref="V82"/>
    <hyperlink r:id="rId89" ref="D83"/>
    <hyperlink r:id="rId90" ref="G83"/>
    <hyperlink r:id="rId91" ref="J83"/>
    <hyperlink r:id="rId92" ref="M83"/>
    <hyperlink r:id="rId93" ref="P83"/>
    <hyperlink r:id="rId94" ref="S83"/>
    <hyperlink r:id="rId95" ref="V83"/>
    <hyperlink r:id="rId96" ref="D84"/>
    <hyperlink r:id="rId97" ref="G84"/>
    <hyperlink r:id="rId98" ref="J84"/>
    <hyperlink r:id="rId99" ref="M84"/>
    <hyperlink r:id="rId100" ref="P84"/>
    <hyperlink r:id="rId101" ref="S84"/>
    <hyperlink r:id="rId102" ref="V84"/>
    <hyperlink r:id="rId103" ref="D87"/>
    <hyperlink r:id="rId104" ref="G87"/>
    <hyperlink r:id="rId105" ref="J87"/>
    <hyperlink r:id="rId106" ref="M87"/>
    <hyperlink r:id="rId107" ref="P87"/>
    <hyperlink r:id="rId108" ref="S87"/>
    <hyperlink r:id="rId109" ref="V87"/>
    <hyperlink r:id="rId110" ref="D89"/>
    <hyperlink r:id="rId111" ref="G89"/>
    <hyperlink r:id="rId112" ref="J89"/>
    <hyperlink r:id="rId113" ref="M89"/>
    <hyperlink r:id="rId114" ref="P89"/>
    <hyperlink r:id="rId115" ref="S89"/>
    <hyperlink r:id="rId116" ref="V89"/>
    <hyperlink r:id="rId117" ref="D100"/>
  </hyperlinks>
  <drawing r:id="rId118"/>
</worksheet>
</file>